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8C4F1C90-05EB-6A55-5F09-09C24B55AC0B}"/>
  <workbookPr codeName="ThisWorkbook" autoCompressPictures="0"/>
  <bookViews>
    <workbookView xWindow="0" yWindow="40" windowWidth="24560" windowHeight="14060" activeTab="1"/>
  </bookViews>
  <sheets>
    <sheet name="Data" sheetId="2" r:id="rId1"/>
    <sheet name="Data For Mike" sheetId="22" r:id="rId2"/>
    <sheet name="EGFunnelChartSurvboth" sheetId="21" r:id="rId3"/>
    <sheet name="EGFunnelChartNICOR" sheetId="15" r:id="rId4"/>
    <sheet name="EGFunnelChartSurv" sheetId="16" r:id="rId5"/>
    <sheet name="EGFunnelChartSurvjust975" sheetId="19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22" l="1"/>
  <c r="E4" i="22"/>
  <c r="E5" i="22"/>
  <c r="E6" i="22"/>
  <c r="E7" i="22"/>
  <c r="E8" i="22"/>
  <c r="E9" i="22"/>
  <c r="E10" i="22"/>
  <c r="E11" i="22"/>
  <c r="E12" i="22"/>
  <c r="E13" i="22"/>
  <c r="E14" i="22"/>
  <c r="E15" i="22"/>
  <c r="E2" i="22"/>
  <c r="E13" i="2"/>
  <c r="G13" i="2"/>
  <c r="I13" i="2"/>
  <c r="J13" i="2"/>
  <c r="R13" i="2"/>
  <c r="E16" i="2"/>
  <c r="G16" i="2"/>
  <c r="I16" i="2"/>
  <c r="J16" i="2"/>
  <c r="R16" i="2"/>
  <c r="E4" i="2"/>
  <c r="G4" i="2"/>
  <c r="I4" i="2"/>
  <c r="J4" i="2"/>
  <c r="R4" i="2"/>
  <c r="E5" i="2"/>
  <c r="G5" i="2"/>
  <c r="I5" i="2"/>
  <c r="J5" i="2"/>
  <c r="R5" i="2"/>
  <c r="E6" i="2"/>
  <c r="G6" i="2"/>
  <c r="I6" i="2"/>
  <c r="J6" i="2"/>
  <c r="R6" i="2"/>
  <c r="E7" i="2"/>
  <c r="G7" i="2"/>
  <c r="I7" i="2"/>
  <c r="J7" i="2"/>
  <c r="R7" i="2"/>
  <c r="E8" i="2"/>
  <c r="G8" i="2"/>
  <c r="I8" i="2"/>
  <c r="J8" i="2"/>
  <c r="R8" i="2"/>
  <c r="E9" i="2"/>
  <c r="G9" i="2"/>
  <c r="I9" i="2"/>
  <c r="J9" i="2"/>
  <c r="R9" i="2"/>
  <c r="E10" i="2"/>
  <c r="G10" i="2"/>
  <c r="I10" i="2"/>
  <c r="J10" i="2"/>
  <c r="R10" i="2"/>
  <c r="E11" i="2"/>
  <c r="G11" i="2"/>
  <c r="I11" i="2"/>
  <c r="J11" i="2"/>
  <c r="R11" i="2"/>
  <c r="E12" i="2"/>
  <c r="G12" i="2"/>
  <c r="I12" i="2"/>
  <c r="J12" i="2"/>
  <c r="R12" i="2"/>
  <c r="E14" i="2"/>
  <c r="G14" i="2"/>
  <c r="I14" i="2"/>
  <c r="J14" i="2"/>
  <c r="R14" i="2"/>
  <c r="E15" i="2"/>
  <c r="G15" i="2"/>
  <c r="I15" i="2"/>
  <c r="J15" i="2"/>
  <c r="R15" i="2"/>
  <c r="E17" i="2"/>
  <c r="G17" i="2"/>
  <c r="I17" i="2"/>
  <c r="J17" i="2"/>
  <c r="R17" i="2"/>
  <c r="S4" i="2"/>
  <c r="V4" i="2"/>
  <c r="X4" i="2"/>
  <c r="Y4" i="2"/>
  <c r="W4" i="2"/>
  <c r="AA4" i="2"/>
  <c r="S5" i="2"/>
  <c r="V5" i="2"/>
  <c r="X5" i="2"/>
  <c r="Y5" i="2"/>
  <c r="W5" i="2"/>
  <c r="AA5" i="2"/>
  <c r="S6" i="2"/>
  <c r="V6" i="2"/>
  <c r="X6" i="2"/>
  <c r="Y6" i="2"/>
  <c r="W6" i="2"/>
  <c r="AA6" i="2"/>
  <c r="S7" i="2"/>
  <c r="V7" i="2"/>
  <c r="X7" i="2"/>
  <c r="Y7" i="2"/>
  <c r="W7" i="2"/>
  <c r="AA7" i="2"/>
  <c r="S8" i="2"/>
  <c r="V8" i="2"/>
  <c r="X8" i="2"/>
  <c r="Y8" i="2"/>
  <c r="W8" i="2"/>
  <c r="AA8" i="2"/>
  <c r="S9" i="2"/>
  <c r="V9" i="2"/>
  <c r="X9" i="2"/>
  <c r="Y9" i="2"/>
  <c r="W9" i="2"/>
  <c r="AA9" i="2"/>
  <c r="S10" i="2"/>
  <c r="V10" i="2"/>
  <c r="X10" i="2"/>
  <c r="Y10" i="2"/>
  <c r="W10" i="2"/>
  <c r="AA10" i="2"/>
  <c r="S11" i="2"/>
  <c r="V11" i="2"/>
  <c r="X11" i="2"/>
  <c r="Y11" i="2"/>
  <c r="W11" i="2"/>
  <c r="AA11" i="2"/>
  <c r="S12" i="2"/>
  <c r="V12" i="2"/>
  <c r="X12" i="2"/>
  <c r="Y12" i="2"/>
  <c r="W12" i="2"/>
  <c r="AA12" i="2"/>
  <c r="S13" i="2"/>
  <c r="V13" i="2"/>
  <c r="X13" i="2"/>
  <c r="Y13" i="2"/>
  <c r="W13" i="2"/>
  <c r="AA13" i="2"/>
  <c r="S14" i="2"/>
  <c r="V14" i="2"/>
  <c r="X14" i="2"/>
  <c r="Y14" i="2"/>
  <c r="W14" i="2"/>
  <c r="AA14" i="2"/>
  <c r="S15" i="2"/>
  <c r="V15" i="2"/>
  <c r="X15" i="2"/>
  <c r="Y15" i="2"/>
  <c r="W15" i="2"/>
  <c r="AA15" i="2"/>
  <c r="S16" i="2"/>
  <c r="V16" i="2"/>
  <c r="X16" i="2"/>
  <c r="Y16" i="2"/>
  <c r="W16" i="2"/>
  <c r="AA16" i="2"/>
  <c r="S17" i="2"/>
  <c r="V17" i="2"/>
  <c r="X17" i="2"/>
  <c r="Y17" i="2"/>
  <c r="W17" i="2"/>
  <c r="AA17" i="2"/>
  <c r="AA19" i="2"/>
  <c r="U23" i="2"/>
  <c r="V23" i="2"/>
  <c r="T23" i="2"/>
  <c r="U24" i="2"/>
  <c r="V24" i="2"/>
  <c r="T24" i="2"/>
  <c r="U25" i="2"/>
  <c r="V25" i="2"/>
  <c r="T25" i="2"/>
  <c r="U26" i="2"/>
  <c r="V26" i="2"/>
  <c r="T26" i="2"/>
  <c r="U27" i="2"/>
  <c r="V27" i="2"/>
  <c r="T27" i="2"/>
  <c r="U28" i="2"/>
  <c r="V28" i="2"/>
  <c r="T28" i="2"/>
  <c r="U29" i="2"/>
  <c r="V29" i="2"/>
  <c r="T29" i="2"/>
  <c r="U30" i="2"/>
  <c r="V30" i="2"/>
  <c r="T30" i="2"/>
  <c r="U31" i="2"/>
  <c r="V31" i="2"/>
  <c r="T31" i="2"/>
  <c r="U32" i="2"/>
  <c r="V32" i="2"/>
  <c r="T32" i="2"/>
  <c r="U33" i="2"/>
  <c r="V33" i="2"/>
  <c r="T33" i="2"/>
  <c r="U34" i="2"/>
  <c r="V34" i="2"/>
  <c r="T34" i="2"/>
  <c r="U35" i="2"/>
  <c r="V35" i="2"/>
  <c r="T35" i="2"/>
  <c r="U22" i="2"/>
  <c r="V22" i="2"/>
  <c r="T22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4" i="2"/>
  <c r="L16" i="2"/>
  <c r="N16" i="2"/>
  <c r="O16" i="2"/>
  <c r="L5" i="2"/>
  <c r="N5" i="2"/>
  <c r="O5" i="2"/>
  <c r="T5" i="2"/>
  <c r="L9" i="2"/>
  <c r="N9" i="2"/>
  <c r="O9" i="2"/>
  <c r="L6" i="2"/>
  <c r="N6" i="2"/>
  <c r="O6" i="2"/>
  <c r="T6" i="2"/>
  <c r="L7" i="2"/>
  <c r="N7" i="2"/>
  <c r="O7" i="2"/>
  <c r="T7" i="2"/>
  <c r="L17" i="2"/>
  <c r="N17" i="2"/>
  <c r="O17" i="2"/>
  <c r="L8" i="2"/>
  <c r="N8" i="2"/>
  <c r="O8" i="2"/>
  <c r="T8" i="2"/>
  <c r="T9" i="2"/>
  <c r="L15" i="2"/>
  <c r="N15" i="2"/>
  <c r="O15" i="2"/>
  <c r="L10" i="2"/>
  <c r="N10" i="2"/>
  <c r="O10" i="2"/>
  <c r="T10" i="2"/>
  <c r="L11" i="2"/>
  <c r="N11" i="2"/>
  <c r="O11" i="2"/>
  <c r="T11" i="2"/>
  <c r="L12" i="2"/>
  <c r="N12" i="2"/>
  <c r="O12" i="2"/>
  <c r="T12" i="2"/>
  <c r="L13" i="2"/>
  <c r="N13" i="2"/>
  <c r="O13" i="2"/>
  <c r="T13" i="2"/>
  <c r="L14" i="2"/>
  <c r="N14" i="2"/>
  <c r="O14" i="2"/>
  <c r="T14" i="2"/>
  <c r="T15" i="2"/>
  <c r="L4" i="2"/>
  <c r="N4" i="2"/>
  <c r="O4" i="2"/>
  <c r="T16" i="2"/>
  <c r="T17" i="2"/>
  <c r="T4" i="2"/>
  <c r="B36" i="2"/>
  <c r="B35" i="2"/>
  <c r="I35" i="2"/>
  <c r="B34" i="2"/>
  <c r="I34" i="2"/>
  <c r="B33" i="2"/>
  <c r="B32" i="2"/>
  <c r="B31" i="2"/>
  <c r="I31" i="2"/>
  <c r="B30" i="2"/>
  <c r="I30" i="2"/>
  <c r="B29" i="2"/>
  <c r="B28" i="2"/>
  <c r="B27" i="2"/>
  <c r="I27" i="2"/>
  <c r="B26" i="2"/>
  <c r="I26" i="2"/>
  <c r="B25" i="2"/>
  <c r="B24" i="2"/>
  <c r="B23" i="2"/>
  <c r="I23" i="2"/>
  <c r="I36" i="2"/>
  <c r="I33" i="2"/>
  <c r="I32" i="2"/>
  <c r="I29" i="2"/>
  <c r="I28" i="2"/>
  <c r="I25" i="2"/>
  <c r="I24" i="2"/>
  <c r="H52" i="2"/>
  <c r="H48" i="2"/>
  <c r="H44" i="2"/>
  <c r="H23" i="2"/>
  <c r="H41" i="2"/>
  <c r="H25" i="2"/>
  <c r="H43" i="2"/>
  <c r="H29" i="2"/>
  <c r="H47" i="2"/>
  <c r="H31" i="2"/>
  <c r="H49" i="2"/>
  <c r="H33" i="2"/>
  <c r="H51" i="2"/>
  <c r="H35" i="2"/>
  <c r="H53" i="2"/>
  <c r="H24" i="2"/>
  <c r="H42" i="2"/>
  <c r="H28" i="2"/>
  <c r="H46" i="2"/>
  <c r="H32" i="2"/>
  <c r="H50" i="2"/>
  <c r="H36" i="2"/>
  <c r="H54" i="2"/>
  <c r="H27" i="2"/>
  <c r="H45" i="2"/>
  <c r="H17" i="2"/>
  <c r="H9" i="2"/>
  <c r="H26" i="2"/>
  <c r="H30" i="2"/>
  <c r="H34" i="2"/>
  <c r="H13" i="2"/>
  <c r="H7" i="2"/>
  <c r="H11" i="2"/>
  <c r="H15" i="2"/>
  <c r="H5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H4" i="2"/>
  <c r="H6" i="2"/>
  <c r="H8" i="2"/>
  <c r="H10" i="2"/>
  <c r="H12" i="2"/>
  <c r="D49" i="2"/>
  <c r="H14" i="2"/>
  <c r="H16" i="2"/>
  <c r="M16" i="2"/>
  <c r="M4" i="2"/>
  <c r="C35" i="2"/>
  <c r="C53" i="2"/>
  <c r="M8" i="2"/>
  <c r="C45" i="2"/>
  <c r="M14" i="2"/>
  <c r="C23" i="2"/>
  <c r="C41" i="2"/>
  <c r="P17" i="2"/>
  <c r="P10" i="2"/>
  <c r="G36" i="2"/>
  <c r="F54" i="2"/>
  <c r="G54" i="2"/>
  <c r="P15" i="2"/>
  <c r="F52" i="2"/>
  <c r="G52" i="2"/>
  <c r="P13" i="2"/>
  <c r="F50" i="2"/>
  <c r="G50" i="2"/>
  <c r="P9" i="2"/>
  <c r="P6" i="2"/>
  <c r="G28" i="2"/>
  <c r="F46" i="2"/>
  <c r="G46" i="2"/>
  <c r="P7" i="2"/>
  <c r="G26" i="2"/>
  <c r="F44" i="2"/>
  <c r="G44" i="2"/>
  <c r="P5" i="2"/>
  <c r="P16" i="2"/>
  <c r="G24" i="2"/>
  <c r="F42" i="2"/>
  <c r="G42" i="2"/>
  <c r="E35" i="2"/>
  <c r="E53" i="2"/>
  <c r="E31" i="2"/>
  <c r="E49" i="2"/>
  <c r="E27" i="2"/>
  <c r="E45" i="2"/>
  <c r="E30" i="2"/>
  <c r="E48" i="2"/>
  <c r="M5" i="2"/>
  <c r="C24" i="2"/>
  <c r="C42" i="2"/>
  <c r="M11" i="2"/>
  <c r="C30" i="2"/>
  <c r="C48" i="2"/>
  <c r="E36" i="2"/>
  <c r="E54" i="2"/>
  <c r="E28" i="2"/>
  <c r="E46" i="2"/>
  <c r="M13" i="2"/>
  <c r="C32" i="2"/>
  <c r="C50" i="2"/>
  <c r="M9" i="2"/>
  <c r="C46" i="2"/>
  <c r="M17" i="2"/>
  <c r="M10" i="2"/>
  <c r="C36" i="2"/>
  <c r="C54" i="2"/>
  <c r="M12" i="2"/>
  <c r="C33" i="2"/>
  <c r="C51" i="2"/>
  <c r="C47" i="2"/>
  <c r="M6" i="2"/>
  <c r="C25" i="2"/>
  <c r="C43" i="2"/>
  <c r="E23" i="2"/>
  <c r="E41" i="2"/>
  <c r="P4" i="2"/>
  <c r="G35" i="2"/>
  <c r="F53" i="2"/>
  <c r="G53" i="2"/>
  <c r="P14" i="2"/>
  <c r="F51" i="2"/>
  <c r="G51" i="2"/>
  <c r="P12" i="2"/>
  <c r="P11" i="2"/>
  <c r="G31" i="2"/>
  <c r="F49" i="2"/>
  <c r="G49" i="2"/>
  <c r="G29" i="2"/>
  <c r="F47" i="2"/>
  <c r="G47" i="2"/>
  <c r="P8" i="2"/>
  <c r="F27" i="2"/>
  <c r="F45" i="2"/>
  <c r="G45" i="2"/>
  <c r="G25" i="2"/>
  <c r="F43" i="2"/>
  <c r="G43" i="2"/>
  <c r="F23" i="2"/>
  <c r="F41" i="2"/>
  <c r="G41" i="2"/>
  <c r="E33" i="2"/>
  <c r="E51" i="2"/>
  <c r="E29" i="2"/>
  <c r="E47" i="2"/>
  <c r="E34" i="2"/>
  <c r="E52" i="2"/>
  <c r="E26" i="2"/>
  <c r="E44" i="2"/>
  <c r="M15" i="2"/>
  <c r="C34" i="2"/>
  <c r="C52" i="2"/>
  <c r="M7" i="2"/>
  <c r="C26" i="2"/>
  <c r="C44" i="2"/>
  <c r="E32" i="2"/>
  <c r="E50" i="2"/>
  <c r="E25" i="2"/>
  <c r="E43" i="2"/>
  <c r="E24" i="2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C31" i="2"/>
  <c r="C49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<sst xmlns="http://schemas.openxmlformats.org/spreadsheetml/2006/main" count="113" uniqueCount="76">
  <si>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</si>
  <si>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</si>
  <si>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</si>
  <si>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</si>
  <si>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</si>
  <si>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</si>
  <si>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</si>
  <si>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</si>
  <si>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</si>
  <si>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</si>
  <si>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</si>
  <si>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</si>
  <si>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</si>
  <si>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</si>
  <si>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</si>
  <si>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</si>
  <si>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</si>
  <si>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</si>
  <si>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</si>
  <si>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</si>
  <si>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</si>
  <si>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</si>
  <si>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</si>
  <si>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</si>
  <si>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</si>
  <si>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</si>
  <si>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</si>
  <si>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</si>
  <si>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</si>
  <si>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</si>
  <si>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</si>
  <si>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</si>
  <si>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</si>
  <si>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</si>
  <si>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</si>
  <si>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</si>
  <si>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</si>
  <si>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</si>
  <si>
    <t>PCT into white actual)</t>
  </si>
  <si>
    <t>PCT into white (ratio)</t>
  </si>
  <si>
    <t>Percemtile within Normal</t>
  </si>
  <si>
    <t>Z</t>
  </si>
  <si>
    <t>Percentile</t>
  </si>
  <si>
    <t>Target PCT into while</t>
  </si>
  <si>
    <t>Target PCT into white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</si>
  <si>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</si>
  <si>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</si>
  <si>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</si>
  <si>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</si>
  <si>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</si>
  <si>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</si>
  <si>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</si>
  <si>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</si>
  <si>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</si>
  <si>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</si>
  <si>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</si>
  <si>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</si>
  <si>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</si>
  <si>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</si>
  <si>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Total actual survivals</t>
  </si>
  <si>
    <t>Hospital Name</t>
  </si>
  <si>
    <t>Hospital A</t>
  </si>
  <si>
    <t>Hospital B</t>
  </si>
  <si>
    <t>Hospital C</t>
  </si>
  <si>
    <t>Hospital D</t>
  </si>
  <si>
    <t>Hospital E</t>
  </si>
  <si>
    <t>Hospital F</t>
  </si>
  <si>
    <t>Hospital G</t>
  </si>
  <si>
    <t>Hospital H</t>
  </si>
  <si>
    <t>Hospital I</t>
  </si>
  <si>
    <t>Hospital J</t>
  </si>
  <si>
    <t>Hospital K</t>
  </si>
  <si>
    <t>Hospital L</t>
  </si>
  <si>
    <t>Hospital M</t>
  </si>
  <si>
    <t>Hospital N</t>
  </si>
  <si>
    <t>DATA SET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</si>
</sst>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8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indexed="206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166" fontId="0" fillId="0" borderId="0" xfId="0" applyNumberFormat="1"/>
    <xf numFmtId="1" fontId="0" fillId="0" borderId="0" xfId="0" applyNumberFormat="1"/>
    <xf numFmtId="166" fontId="3" fillId="0" borderId="0" xfId="0" applyNumberFormat="1" applyFont="1"/>
    <xf numFmtId="0" fontId="0" fillId="0" borderId="0" xfId="0" applyAlignment="1">
      <alignment horizontal="right"/>
    </xf>
    <xf numFmtId="166" fontId="0" fillId="7" borderId="0" xfId="0" applyNumberFormat="1" applyFill="1"/>
    <xf numFmtId="1" fontId="0" fillId="8" borderId="1" xfId="0" applyNumberFormat="1" applyFill="1" applyBorder="1"/>
    <xf numFmtId="1" fontId="0" fillId="7" borderId="1" xfId="0" applyNumberFormat="1" applyFill="1" applyBorder="1"/>
    <xf numFmtId="0" fontId="0" fillId="8" borderId="1" xfId="0" applyFill="1" applyBorder="1"/>
    <xf numFmtId="0" fontId="6" fillId="0" borderId="1" xfId="0" applyFont="1" applyBorder="1"/>
    <xf numFmtId="164" fontId="6" fillId="0" borderId="1" xfId="0" applyNumberFormat="1" applyFont="1" applyBorder="1"/>
    <xf numFmtId="0" fontId="7" fillId="0" borderId="1" xfId="0" applyFont="1" applyBorder="1" applyAlignment="1">
      <alignment wrapText="1"/>
    </xf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6" fillId="0" borderId="0" xfId="0" applyFont="1" applyFill="1" applyBorder="1"/>
  </cellXfs>
  <cellStyles count="18"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1.xml"/><Relationship Id="rId4" Type="http://schemas.openxmlformats.org/officeDocument/2006/relationships/chartsheet" Target="chartsheets/sheet2.xml"/><Relationship Id="rId5" Type="http://schemas.openxmlformats.org/officeDocument/2006/relationships/chartsheet" Target="chartsheets/sheet3.xml"/><Relationship Id="rId6" Type="http://schemas.openxmlformats.org/officeDocument/2006/relationships/chartsheet" Target="chartsheets/sheet4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0.015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0.035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6670952"/>
        <c:axId val="2146676008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0.97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0.964380648591175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684984"/>
        <c:axId val="2146681656"/>
      </c:scatterChart>
      <c:catAx>
        <c:axId val="214667095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6676008"/>
        <c:crosses val="autoZero"/>
        <c:auto val="1"/>
        <c:lblAlgn val="ctr"/>
        <c:lblOffset val="100"/>
        <c:noMultiLvlLbl val="0"/>
      </c:catAx>
      <c:valAx>
        <c:axId val="2146676008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6670952"/>
        <c:crosses val="autoZero"/>
        <c:crossBetween val="between"/>
        <c:majorUnit val="0.01"/>
        <c:minorUnit val="0.005"/>
      </c:valAx>
      <c:valAx>
        <c:axId val="2146681656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6684984"/>
        <c:crosses val="max"/>
        <c:crossBetween val="midCat"/>
      </c:valAx>
      <c:valAx>
        <c:axId val="2146684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66816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0962008694296414"/>
          <c:y val="0.090089681857294"/>
          <c:w val="0.655752474343046"/>
          <c:h val="0.785931156577279"/>
        </c:manualLayout>
      </c:layout>
      <c:barChart>
        <c:barDir val="col"/>
        <c:grouping val="stacked"/>
        <c:varyColors val="0"/>
        <c:ser>
          <c:idx val="0"/>
          <c:order val="0"/>
          <c:tx>
            <c:v>survival much lower than predicted</c:v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0.965937976614133</c:v>
                </c:pt>
                <c:pt idx="1">
                  <c:v>0.973375931842385</c:v>
                </c:pt>
                <c:pt idx="2">
                  <c:v>0.977112676056338</c:v>
                </c:pt>
                <c:pt idx="3">
                  <c:v>0.977717144156435</c:v>
                </c:pt>
                <c:pt idx="4">
                  <c:v>0.981363221686433</c:v>
                </c:pt>
                <c:pt idx="5">
                  <c:v>0.982120989468528</c:v>
                </c:pt>
                <c:pt idx="6">
                  <c:v>0.981524249422633</c:v>
                </c:pt>
                <c:pt idx="7">
                  <c:v>0.984840564558285</c:v>
                </c:pt>
                <c:pt idx="8">
                  <c:v>0.984701781564678</c:v>
                </c:pt>
                <c:pt idx="9">
                  <c:v>0.985421664513748</c:v>
                </c:pt>
                <c:pt idx="10">
                  <c:v>0.983694678373051</c:v>
                </c:pt>
                <c:pt idx="11">
                  <c:v>0.98350850209348</c:v>
                </c:pt>
                <c:pt idx="12">
                  <c:v>0.98465829846583</c:v>
                </c:pt>
                <c:pt idx="13">
                  <c:v>0.988191761440932</c:v>
                </c:pt>
              </c:numCache>
            </c:numRef>
          </c:val>
        </c:ser>
        <c:ser>
          <c:idx val="1"/>
          <c:order val="1"/>
          <c:tx>
            <c:v>survival lower than predicted</c:v>
          </c:tx>
          <c:spPr>
            <a:solidFill>
              <a:schemeClr val="bg1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0.0152516522623284</c:v>
                </c:pt>
                <c:pt idx="1">
                  <c:v>0.0106496272630459</c:v>
                </c:pt>
                <c:pt idx="2">
                  <c:v>0.00880281690140838</c:v>
                </c:pt>
                <c:pt idx="3">
                  <c:v>0.00909504320145515</c:v>
                </c:pt>
                <c:pt idx="4">
                  <c:v>0.00651635605369471</c:v>
                </c:pt>
                <c:pt idx="5">
                  <c:v>0.00734753857457759</c:v>
                </c:pt>
                <c:pt idx="6">
                  <c:v>0.0069284064665126</c:v>
                </c:pt>
                <c:pt idx="7">
                  <c:v>0.00627286983795094</c:v>
                </c:pt>
                <c:pt idx="8">
                  <c:v>0.00580945003872979</c:v>
                </c:pt>
                <c:pt idx="9">
                  <c:v>0.00553607676693113</c:v>
                </c:pt>
                <c:pt idx="10">
                  <c:v>0.00627127754882639</c:v>
                </c:pt>
                <c:pt idx="11">
                  <c:v>0.00683585405451581</c:v>
                </c:pt>
                <c:pt idx="12">
                  <c:v>0.00557880055787996</c:v>
                </c:pt>
                <c:pt idx="13">
                  <c:v>0.00489742613048916</c:v>
                </c:pt>
              </c:numCache>
            </c:numRef>
          </c:val>
        </c:ser>
        <c:ser>
          <c:idx val="2"/>
          <c:order val="2"/>
          <c:tx>
            <c:v>survival as predicted</c:v>
          </c:tx>
          <c:spPr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0.0355871886120996</c:v>
                </c:pt>
                <c:pt idx="1">
                  <c:v>0.0298189563365282</c:v>
                </c:pt>
                <c:pt idx="2">
                  <c:v>0.0264084507042255</c:v>
                </c:pt>
                <c:pt idx="3">
                  <c:v>0.024253448537214</c:v>
                </c:pt>
                <c:pt idx="4">
                  <c:v>0.0221556105825622</c:v>
                </c:pt>
                <c:pt idx="5">
                  <c:v>0.0195934361988733</c:v>
                </c:pt>
                <c:pt idx="6">
                  <c:v>0.0219399538106236</c:v>
                </c:pt>
                <c:pt idx="7">
                  <c:v>0.0177731312075274</c:v>
                </c:pt>
                <c:pt idx="8">
                  <c:v>0.0183965917893104</c:v>
                </c:pt>
                <c:pt idx="9">
                  <c:v>0.0175309097619486</c:v>
                </c:pt>
                <c:pt idx="10">
                  <c:v>0.0188138326464792</c:v>
                </c:pt>
                <c:pt idx="11">
                  <c:v>0.0187985986499189</c:v>
                </c:pt>
                <c:pt idx="12">
                  <c:v>0.0188284518828453</c:v>
                </c:pt>
                <c:pt idx="13">
                  <c:v>0.013603961473581</c:v>
                </c:pt>
              </c:numCache>
            </c:numRef>
          </c:val>
        </c:ser>
        <c:ser>
          <c:idx val="3"/>
          <c:order val="3"/>
          <c:tx>
            <c:v>survival higher than predcited</c:v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0.0</c:v>
                </c:pt>
                <c:pt idx="1">
                  <c:v>0.00638977635782756</c:v>
                </c:pt>
                <c:pt idx="2">
                  <c:v>0.00528169014084501</c:v>
                </c:pt>
                <c:pt idx="3">
                  <c:v>0.00606336213430336</c:v>
                </c:pt>
                <c:pt idx="4">
                  <c:v>0.00521308484295591</c:v>
                </c:pt>
                <c:pt idx="5">
                  <c:v>0.00489835904971847</c:v>
                </c:pt>
                <c:pt idx="6">
                  <c:v>0.00461893764434174</c:v>
                </c:pt>
                <c:pt idx="7">
                  <c:v>0.00313643491897531</c:v>
                </c:pt>
                <c:pt idx="8">
                  <c:v>0.0038729666924866</c:v>
                </c:pt>
                <c:pt idx="9">
                  <c:v>0.00369071784462083</c:v>
                </c:pt>
                <c:pt idx="10">
                  <c:v>0.00447948396344744</c:v>
                </c:pt>
                <c:pt idx="11">
                  <c:v>0.005126890540887</c:v>
                </c:pt>
                <c:pt idx="12">
                  <c:v>0.00418410041841</c:v>
                </c:pt>
                <c:pt idx="13">
                  <c:v>0.00326495075365951</c:v>
                </c:pt>
              </c:numCache>
            </c:numRef>
          </c:val>
        </c:ser>
        <c:ser>
          <c:idx val="4"/>
          <c:order val="4"/>
          <c:tx>
            <c:v>survival much higher than predicted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0.0132231825114388</c:v>
                </c:pt>
                <c:pt idx="1">
                  <c:v>0.00976570820021294</c:v>
                </c:pt>
                <c:pt idx="2">
                  <c:v>0.012394366197183</c:v>
                </c:pt>
                <c:pt idx="3">
                  <c:v>0.0128710019705927</c:v>
                </c:pt>
                <c:pt idx="4">
                  <c:v>0.0147517268343542</c:v>
                </c:pt>
                <c:pt idx="5">
                  <c:v>0.0160396767083026</c:v>
                </c:pt>
                <c:pt idx="6">
                  <c:v>0.0149884526558892</c:v>
                </c:pt>
                <c:pt idx="7">
                  <c:v>0.0179769994772609</c:v>
                </c:pt>
                <c:pt idx="8">
                  <c:v>0.0172192099147947</c:v>
                </c:pt>
                <c:pt idx="9">
                  <c:v>0.0178206311127516</c:v>
                </c:pt>
                <c:pt idx="10">
                  <c:v>0.0167407274681957</c:v>
                </c:pt>
                <c:pt idx="11">
                  <c:v>0.0157301546611979</c:v>
                </c:pt>
                <c:pt idx="12">
                  <c:v>0.0167503486750349</c:v>
                </c:pt>
                <c:pt idx="13">
                  <c:v>0.0200419002013388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7278840"/>
        <c:axId val="2147283896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0.986273512963904</c:v>
                </c:pt>
                <c:pt idx="1">
                  <c:v>1.003194888178914</c:v>
                </c:pt>
                <c:pt idx="2">
                  <c:v>1.0</c:v>
                </c:pt>
                <c:pt idx="3">
                  <c:v>1.000454752160073</c:v>
                </c:pt>
                <c:pt idx="4">
                  <c:v>0.989182848950867</c:v>
                </c:pt>
                <c:pt idx="5">
                  <c:v>0.995591476855253</c:v>
                </c:pt>
                <c:pt idx="6">
                  <c:v>1.002309468822171</c:v>
                </c:pt>
                <c:pt idx="7">
                  <c:v>0.995295347621537</c:v>
                </c:pt>
                <c:pt idx="8">
                  <c:v>0.997288923315259</c:v>
                </c:pt>
                <c:pt idx="9">
                  <c:v>1.005720612659162</c:v>
                </c:pt>
                <c:pt idx="10">
                  <c:v>0.998924923848773</c:v>
                </c:pt>
                <c:pt idx="11">
                  <c:v>0.993762283175254</c:v>
                </c:pt>
                <c:pt idx="12">
                  <c:v>1.007670850767085</c:v>
                </c:pt>
                <c:pt idx="13">
                  <c:v>0.987103444523045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292904"/>
        <c:axId val="2147289576"/>
      </c:scatterChart>
      <c:catAx>
        <c:axId val="214727884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7283896"/>
        <c:crosses val="autoZero"/>
        <c:auto val="1"/>
        <c:lblAlgn val="ctr"/>
        <c:lblOffset val="100"/>
        <c:noMultiLvlLbl val="0"/>
      </c:catAx>
      <c:valAx>
        <c:axId val="2147283896"/>
        <c:scaling>
          <c:orientation val="minMax"/>
          <c:max val="1.03"/>
          <c:min val="0.97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7278840"/>
        <c:crosses val="autoZero"/>
        <c:crossBetween val="between"/>
      </c:valAx>
      <c:valAx>
        <c:axId val="2147289576"/>
        <c:scaling>
          <c:orientation val="minMax"/>
          <c:max val="1.03"/>
          <c:min val="0.97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7292904"/>
        <c:crosses val="max"/>
        <c:crossBetween val="midCat"/>
      </c:valAx>
      <c:valAx>
        <c:axId val="2147292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147289576"/>
        <c:crosses val="autoZero"/>
        <c:crossBetween val="midCat"/>
      </c:valAx>
    </c:plotArea>
    <c:legend>
      <c:legendPos val="r"/>
      <c:legendEntry>
        <c:idx val="5"/>
        <c:delete val="1"/>
      </c:legendEntry>
      <c:layout>
        <c:manualLayout>
          <c:xMode val="edge"/>
          <c:yMode val="edge"/>
          <c:x val="0.775184187015712"/>
          <c:y val="0.450728036875909"/>
          <c:w val="0.20568453031356"/>
          <c:h val="0.37583381585707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0.015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0.035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7352024"/>
        <c:axId val="2147357080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0.97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0.964380648591175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366056"/>
        <c:axId val="2147362728"/>
      </c:scatterChart>
      <c:catAx>
        <c:axId val="2147352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7357080"/>
        <c:crosses val="autoZero"/>
        <c:auto val="1"/>
        <c:lblAlgn val="ctr"/>
        <c:lblOffset val="100"/>
        <c:noMultiLvlLbl val="0"/>
      </c:catAx>
      <c:valAx>
        <c:axId val="2147357080"/>
        <c:scaling>
          <c:orientation val="minMax"/>
          <c:max val="1.0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7352024"/>
        <c:crosses val="autoZero"/>
        <c:crossBetween val="between"/>
        <c:majorUnit val="0.01"/>
        <c:minorUnit val="0.005"/>
      </c:valAx>
      <c:valAx>
        <c:axId val="2147362728"/>
        <c:scaling>
          <c:orientation val="minMax"/>
          <c:max val="1.0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7366056"/>
        <c:crosses val="max"/>
        <c:crossBetween val="midCat"/>
      </c:valAx>
      <c:valAx>
        <c:axId val="21473660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473627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</c:v>
                </c:pt>
                <c:pt idx="1">
                  <c:v>0.948132780082987</c:v>
                </c:pt>
                <c:pt idx="2">
                  <c:v>0.95360824742268</c:v>
                </c:pt>
                <c:pt idx="3">
                  <c:v>0.951327433628319</c:v>
                </c:pt>
                <c:pt idx="4">
                  <c:v>0.956797966963151</c:v>
                </c:pt>
                <c:pt idx="5">
                  <c:v>0.960479041916168</c:v>
                </c:pt>
                <c:pt idx="6">
                  <c:v>0.955056179775281</c:v>
                </c:pt>
                <c:pt idx="7">
                  <c:v>0.965163934426229</c:v>
                </c:pt>
                <c:pt idx="8">
                  <c:v>0.963068181818182</c:v>
                </c:pt>
                <c:pt idx="9">
                  <c:v>0.964769647696477</c:v>
                </c:pt>
                <c:pt idx="10">
                  <c:v>0.958115183246073</c:v>
                </c:pt>
                <c:pt idx="11">
                  <c:v>0.955980066445183</c:v>
                </c:pt>
                <c:pt idx="12">
                  <c:v>0.953409858203916</c:v>
                </c:pt>
                <c:pt idx="13">
                  <c:v>0.965443912812334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0.015</c:v>
                </c:pt>
                <c:pt idx="1">
                  <c:v>0.0103734439834026</c:v>
                </c:pt>
                <c:pt idx="2">
                  <c:v>0.00859106529209619</c:v>
                </c:pt>
                <c:pt idx="3">
                  <c:v>0.00884955752212391</c:v>
                </c:pt>
                <c:pt idx="4">
                  <c:v>0.00635324015247773</c:v>
                </c:pt>
                <c:pt idx="5">
                  <c:v>0.00718562874251505</c:v>
                </c:pt>
                <c:pt idx="6">
                  <c:v>0.00674157303370781</c:v>
                </c:pt>
                <c:pt idx="7">
                  <c:v>0.00614754098360659</c:v>
                </c:pt>
                <c:pt idx="8">
                  <c:v>0.00568181818181823</c:v>
                </c:pt>
                <c:pt idx="9">
                  <c:v>0.00542005420054192</c:v>
                </c:pt>
                <c:pt idx="10">
                  <c:v>0.00610820244328103</c:v>
                </c:pt>
                <c:pt idx="11">
                  <c:v>0.00664451827242518</c:v>
                </c:pt>
                <c:pt idx="12">
                  <c:v>0.00540175557056033</c:v>
                </c:pt>
                <c:pt idx="13">
                  <c:v>0.00478468899521533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0.035</c:v>
                </c:pt>
                <c:pt idx="1">
                  <c:v>0.029045643153527</c:v>
                </c:pt>
                <c:pt idx="2">
                  <c:v>0.0257731958762887</c:v>
                </c:pt>
                <c:pt idx="3">
                  <c:v>0.023598820058997</c:v>
                </c:pt>
                <c:pt idx="4">
                  <c:v>0.0216010165184244</c:v>
                </c:pt>
                <c:pt idx="5">
                  <c:v>0.0191616766467065</c:v>
                </c:pt>
                <c:pt idx="6">
                  <c:v>0.0213483146067416</c:v>
                </c:pt>
                <c:pt idx="7">
                  <c:v>0.0174180327868852</c:v>
                </c:pt>
                <c:pt idx="8">
                  <c:v>0.0179924242424242</c:v>
                </c:pt>
                <c:pt idx="9">
                  <c:v>0.017163504968383</c:v>
                </c:pt>
                <c:pt idx="10">
                  <c:v>0.0183246073298429</c:v>
                </c:pt>
                <c:pt idx="11">
                  <c:v>0.0182724252491695</c:v>
                </c:pt>
                <c:pt idx="12">
                  <c:v>0.0182309250506415</c:v>
                </c:pt>
                <c:pt idx="13">
                  <c:v>0.0132908027644869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0.00515463917525771</c:v>
                </c:pt>
                <c:pt idx="3">
                  <c:v>0.00589970501474923</c:v>
                </c:pt>
                <c:pt idx="4">
                  <c:v>0.00508259212198225</c:v>
                </c:pt>
                <c:pt idx="5">
                  <c:v>0.00479041916167666</c:v>
                </c:pt>
                <c:pt idx="6">
                  <c:v>0.00449438202247199</c:v>
                </c:pt>
                <c:pt idx="7">
                  <c:v>0.00307377049180324</c:v>
                </c:pt>
                <c:pt idx="8">
                  <c:v>0.00378787878787878</c:v>
                </c:pt>
                <c:pt idx="9">
                  <c:v>0.00361336946702806</c:v>
                </c:pt>
                <c:pt idx="10">
                  <c:v>0.00436300174520077</c:v>
                </c:pt>
                <c:pt idx="11">
                  <c:v>0.00498338870431891</c:v>
                </c:pt>
                <c:pt idx="12">
                  <c:v>0.00405131667792036</c:v>
                </c:pt>
                <c:pt idx="13">
                  <c:v>0.00318979266347685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0.0</c:v>
                </c:pt>
                <c:pt idx="1">
                  <c:v>0.00622406639004147</c:v>
                </c:pt>
                <c:pt idx="2">
                  <c:v>0.00687285223367695</c:v>
                </c:pt>
                <c:pt idx="3">
                  <c:v>0.0103244837758112</c:v>
                </c:pt>
                <c:pt idx="4">
                  <c:v>0.0101651842439644</c:v>
                </c:pt>
                <c:pt idx="5">
                  <c:v>0.00838323353293413</c:v>
                </c:pt>
                <c:pt idx="6">
                  <c:v>0.0123595505617977</c:v>
                </c:pt>
                <c:pt idx="7">
                  <c:v>0.00819672131147542</c:v>
                </c:pt>
                <c:pt idx="8">
                  <c:v>0.00946969696969701</c:v>
                </c:pt>
                <c:pt idx="9">
                  <c:v>0.00903342366756998</c:v>
                </c:pt>
                <c:pt idx="10">
                  <c:v>0.0130890052356021</c:v>
                </c:pt>
                <c:pt idx="11">
                  <c:v>0.0141196013289037</c:v>
                </c:pt>
                <c:pt idx="12">
                  <c:v>0.0189061444969615</c:v>
                </c:pt>
                <c:pt idx="13">
                  <c:v>0.013290802764487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147422968"/>
        <c:axId val="214742802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A (200)</c:v>
                </c:pt>
                <c:pt idx="1">
                  <c:v>B (482)</c:v>
                </c:pt>
                <c:pt idx="2">
                  <c:v>C (582)</c:v>
                </c:pt>
                <c:pt idx="3">
                  <c:v>D (678)</c:v>
                </c:pt>
                <c:pt idx="4">
                  <c:v>E (787)</c:v>
                </c:pt>
                <c:pt idx="5">
                  <c:v>F (835)</c:v>
                </c:pt>
                <c:pt idx="6">
                  <c:v>G (890)</c:v>
                </c:pt>
                <c:pt idx="7">
                  <c:v>H (976)</c:v>
                </c:pt>
                <c:pt idx="8">
                  <c:v>I (1056)</c:v>
                </c:pt>
                <c:pt idx="9">
                  <c:v>J (1107)</c:v>
                </c:pt>
                <c:pt idx="10">
                  <c:v>K (1146)</c:v>
                </c:pt>
                <c:pt idx="11">
                  <c:v>L (1204)</c:v>
                </c:pt>
                <c:pt idx="12">
                  <c:v>M (1481)</c:v>
                </c:pt>
                <c:pt idx="13">
                  <c:v>N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0.97</c:v>
                </c:pt>
                <c:pt idx="1">
                  <c:v>0.977178423236514</c:v>
                </c:pt>
                <c:pt idx="2">
                  <c:v>0.975945017182131</c:v>
                </c:pt>
                <c:pt idx="3">
                  <c:v>0.973451327433628</c:v>
                </c:pt>
                <c:pt idx="4">
                  <c:v>0.964421855146125</c:v>
                </c:pt>
                <c:pt idx="5">
                  <c:v>0.973652694610778</c:v>
                </c:pt>
                <c:pt idx="6">
                  <c:v>0.975280898876404</c:v>
                </c:pt>
                <c:pt idx="7">
                  <c:v>0.975409836065574</c:v>
                </c:pt>
                <c:pt idx="8">
                  <c:v>0.975378787878788</c:v>
                </c:pt>
                <c:pt idx="9">
                  <c:v>0.984643179765131</c:v>
                </c:pt>
                <c:pt idx="10">
                  <c:v>0.972949389179756</c:v>
                </c:pt>
                <c:pt idx="11">
                  <c:v>0.965946843853821</c:v>
                </c:pt>
                <c:pt idx="12">
                  <c:v>0.975692099932478</c:v>
                </c:pt>
                <c:pt idx="13">
                  <c:v>0.964380648591175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437000"/>
        <c:axId val="2147433672"/>
      </c:scatterChart>
      <c:catAx>
        <c:axId val="21474229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47428024"/>
        <c:crosses val="autoZero"/>
        <c:auto val="1"/>
        <c:lblAlgn val="ctr"/>
        <c:lblOffset val="100"/>
        <c:noMultiLvlLbl val="0"/>
      </c:catAx>
      <c:valAx>
        <c:axId val="2147428024"/>
        <c:scaling>
          <c:orientation val="minMax"/>
          <c:max val="1.0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2147422968"/>
        <c:crosses val="autoZero"/>
        <c:crossBetween val="between"/>
        <c:majorUnit val="0.1"/>
        <c:minorUnit val="0.05"/>
      </c:valAx>
      <c:valAx>
        <c:axId val="2147433672"/>
        <c:scaling>
          <c:orientation val="minMax"/>
          <c:max val="1.0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2147437000"/>
        <c:crosses val="max"/>
        <c:crossBetween val="midCat"/>
      </c:valAx>
      <c:valAx>
        <c:axId val="2147437000"/>
        <c:scaling>
          <c:orientation val="minMax"/>
        </c:scaling>
        <c:delete val="1"/>
        <c:axPos val="b"/>
        <c:majorTickMark val="out"/>
        <c:minorTickMark val="none"/>
        <c:tickLblPos val="nextTo"/>
        <c:crossAx val="2147433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AA54"/>
  <sheetViews>
    <sheetView zoomScale="90" zoomScaleNormal="90" zoomScalePageLayoutView="90" workbookViewId="0">
      <pane xSplit="14360" topLeftCell="P1"/>
      <selection activeCell="P17" sqref="B3:P17"/>
      <selection pane="topRight" activeCell="AA23" sqref="AA23"/>
    </sheetView>
  </sheetViews>
  <sheetFormatPr baseColWidth="10" defaultColWidth="8.83203125" defaultRowHeight="12" x14ac:dyDescent="0"/>
  <cols>
    <col min="3" max="3" width="12.33203125" customWidth="1"/>
    <col min="4" max="5" width="11" customWidth="1"/>
    <col min="6" max="6" width="12.6640625" customWidth="1"/>
    <col min="7" max="7" width="13.5" customWidth="1"/>
    <col min="8" max="8" width="12.33203125" customWidth="1"/>
    <col min="9" max="11" width="7.6640625" customWidth="1"/>
    <col min="12" max="12" width="13.83203125" customWidth="1"/>
    <col min="13" max="13" width="11.5" customWidth="1"/>
    <col min="15" max="16" width="8.83203125" customWidth="1"/>
  </cols>
  <sheetData>
    <row r="2" spans="2:27" ht="26.25" customHeight="1">
      <c r="B2" s="7"/>
      <c r="C2" s="28" t="s">
        <v>19</v>
      </c>
      <c r="D2" s="28"/>
      <c r="E2" s="28"/>
      <c r="F2" s="27" t="s">
        <v>20</v>
      </c>
      <c r="G2" s="27"/>
      <c r="H2" s="26" t="s">
        <v>31</v>
      </c>
      <c r="I2" s="26"/>
      <c r="J2" s="26"/>
      <c r="K2" s="26"/>
      <c r="L2" s="9"/>
      <c r="M2" s="26" t="s">
        <v>36</v>
      </c>
      <c r="N2" s="26"/>
      <c r="O2" s="26"/>
      <c r="P2" s="26"/>
    </row>
    <row r="3" spans="2:27" s="1" customFormat="1" ht="48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  <c r="R3" s="1" t="s">
        <v>38</v>
      </c>
      <c r="T3" s="1" t="s">
        <v>39</v>
      </c>
      <c r="U3" s="1" t="s">
        <v>40</v>
      </c>
      <c r="W3" s="1" t="s">
        <v>44</v>
      </c>
      <c r="X3" s="18" t="s">
        <v>42</v>
      </c>
      <c r="Y3" s="18" t="s">
        <v>41</v>
      </c>
    </row>
    <row r="4" spans="2:27">
      <c r="B4" s="11" t="s">
        <v>45</v>
      </c>
      <c r="C4" s="11">
        <v>200</v>
      </c>
      <c r="D4" s="22">
        <v>6</v>
      </c>
      <c r="E4" s="13">
        <f t="shared" ref="E4:E17" si="0">1-D4/C4</f>
        <v>0.97</v>
      </c>
      <c r="F4" s="12">
        <v>3.3</v>
      </c>
      <c r="G4" s="13">
        <f t="shared" ref="G4:G17" si="1">1-F4/C4</f>
        <v>0.98350000000000004</v>
      </c>
      <c r="H4" s="13">
        <f t="shared" ref="H4:H17" si="2">(_xlfn.BINOM.INV(C4,G4,1-0.999))/C4</f>
        <v>0.95</v>
      </c>
      <c r="I4" s="13">
        <f t="shared" ref="I4:I17" si="3">(_xlfn.BINOM.INV(C4,G4,1-0.975))/C4</f>
        <v>0.96499999999999997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 t="shared" ref="L4:L17" si="6">E4/G4</f>
        <v>0.98627351296390431</v>
      </c>
      <c r="M4" s="6">
        <f t="shared" ref="M4:M17" si="7">H4/G4</f>
        <v>0.96593797661413316</v>
      </c>
      <c r="N4" s="6">
        <f t="shared" ref="N4:N17" si="8">I4/G4</f>
        <v>0.98118962887646155</v>
      </c>
      <c r="O4" s="6">
        <f t="shared" ref="O4:O17" si="9">J4/G4</f>
        <v>1.0167768174885612</v>
      </c>
      <c r="P4" s="6">
        <f t="shared" ref="P4:P17" si="10">K4/G4</f>
        <v>1.0167768174885612</v>
      </c>
      <c r="R4" s="20">
        <f>100*(E4 -I4)/(J4-I4)</f>
        <v>14.285714285714286</v>
      </c>
      <c r="S4">
        <f>RANK(R4,R$4:R$17,1)</f>
        <v>3</v>
      </c>
      <c r="T4" s="16">
        <f>100*(L4-N4)/(O4-N4)</f>
        <v>14.285714285714151</v>
      </c>
      <c r="U4" s="17">
        <f>100*(2*S4-1)/28</f>
        <v>17.857142857142858</v>
      </c>
      <c r="V4">
        <f>S4</f>
        <v>3</v>
      </c>
      <c r="W4" s="21">
        <f>100*(Y4-(-1.96))/3.92</f>
        <v>26.509617949786243</v>
      </c>
      <c r="X4" s="17">
        <f>100*(2*V4-1)/28</f>
        <v>17.857142857142858</v>
      </c>
      <c r="Y4" s="15">
        <f>_xlfn.NORM.INV(X4/100,0,1)</f>
        <v>-0.9208229763683794</v>
      </c>
      <c r="AA4" s="16">
        <f>R4-W4</f>
        <v>-12.223903664071956</v>
      </c>
    </row>
    <row r="5" spans="2:27">
      <c r="B5" s="11" t="s">
        <v>46</v>
      </c>
      <c r="C5" s="11">
        <v>482</v>
      </c>
      <c r="D5" s="22">
        <v>11</v>
      </c>
      <c r="E5" s="13">
        <f t="shared" si="0"/>
        <v>0.97717842323651449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si="6"/>
        <v>1.0031948881789137</v>
      </c>
      <c r="M5" s="6">
        <f t="shared" si="7"/>
        <v>0.97337593184238547</v>
      </c>
      <c r="N5" s="6">
        <f t="shared" si="8"/>
        <v>0.98402555910543132</v>
      </c>
      <c r="O5" s="6">
        <f t="shared" si="9"/>
        <v>1.0138445154419595</v>
      </c>
      <c r="P5" s="6">
        <f t="shared" si="10"/>
        <v>1.0202342917997871</v>
      </c>
      <c r="R5" s="20">
        <f t="shared" ref="R5:R17" si="11">100*(E5 -I5)/(J5-I5)</f>
        <v>64.285714285714036</v>
      </c>
      <c r="S5">
        <f t="shared" ref="S5:S17" si="12">RANK(R5,R$4:R$17,1)</f>
        <v>12</v>
      </c>
      <c r="T5" s="16">
        <f t="shared" ref="T5:T17" si="13">100*(L5-N5)/(O5-N5)</f>
        <v>64.28571428571405</v>
      </c>
      <c r="U5" s="17">
        <f t="shared" ref="U5:U17" si="14">100*(2*S5-1)/28</f>
        <v>82.142857142857139</v>
      </c>
      <c r="V5">
        <f t="shared" ref="V5:V17" si="15">S5</f>
        <v>12</v>
      </c>
      <c r="W5" s="21">
        <f t="shared" ref="W5:W17" si="16">100*(Y5-(-1.96))/3.92</f>
        <v>73.490382050213768</v>
      </c>
      <c r="X5" s="17">
        <f t="shared" ref="X5:X17" si="17">100*(2*V5-1)/28</f>
        <v>82.142857142857139</v>
      </c>
      <c r="Y5" s="15">
        <f t="shared" ref="Y5:Y17" si="18">_xlfn.NORM.INV(X5/100,0,1)</f>
        <v>0.9208229763683794</v>
      </c>
      <c r="AA5" s="16">
        <f t="shared" ref="AA5:AA17" si="19">R5-W5</f>
        <v>-9.2046677644997317</v>
      </c>
    </row>
    <row r="6" spans="2:27">
      <c r="B6" s="11" t="s">
        <v>47</v>
      </c>
      <c r="C6" s="11">
        <v>582</v>
      </c>
      <c r="D6" s="22">
        <v>14</v>
      </c>
      <c r="E6" s="13">
        <f t="shared" si="0"/>
        <v>0.97594501718213056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  <c r="R6" s="20">
        <f t="shared" si="11"/>
        <v>53.333333333333101</v>
      </c>
      <c r="S6">
        <f t="shared" si="12"/>
        <v>9</v>
      </c>
      <c r="T6" s="16">
        <f t="shared" si="13"/>
        <v>53.333333333332995</v>
      </c>
      <c r="U6" s="17">
        <f t="shared" si="14"/>
        <v>60.714285714285715</v>
      </c>
      <c r="V6">
        <f t="shared" si="15"/>
        <v>9</v>
      </c>
      <c r="W6" s="21">
        <f t="shared" si="16"/>
        <v>56.935714423450534</v>
      </c>
      <c r="X6" s="17">
        <f t="shared" si="17"/>
        <v>60.714285714285715</v>
      </c>
      <c r="Y6" s="15">
        <f t="shared" si="18"/>
        <v>0.27188000539926105</v>
      </c>
      <c r="AA6" s="16">
        <f t="shared" si="19"/>
        <v>-3.6023810901174329</v>
      </c>
    </row>
    <row r="7" spans="2:27">
      <c r="B7" s="11" t="s">
        <v>48</v>
      </c>
      <c r="C7" s="11">
        <v>678</v>
      </c>
      <c r="D7" s="22">
        <v>18</v>
      </c>
      <c r="E7" s="13">
        <f t="shared" si="0"/>
        <v>0.97345132743362828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1.0004547521600728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  <c r="R7" s="20">
        <f t="shared" si="11"/>
        <v>56.249999999999616</v>
      </c>
      <c r="S7">
        <f t="shared" si="12"/>
        <v>10</v>
      </c>
      <c r="T7" s="16">
        <f t="shared" si="13"/>
        <v>56.249999999999858</v>
      </c>
      <c r="U7" s="17">
        <f t="shared" si="14"/>
        <v>67.857142857142861</v>
      </c>
      <c r="V7">
        <f t="shared" si="15"/>
        <v>10</v>
      </c>
      <c r="W7" s="21">
        <f t="shared" si="16"/>
        <v>61.829279373907625</v>
      </c>
      <c r="X7" s="17">
        <f t="shared" si="17"/>
        <v>67.857142857142861</v>
      </c>
      <c r="Y7" s="15">
        <f t="shared" si="18"/>
        <v>0.46370775145717918</v>
      </c>
      <c r="AA7" s="16">
        <f t="shared" si="19"/>
        <v>-5.5792793739080082</v>
      </c>
    </row>
    <row r="8" spans="2:27">
      <c r="B8" s="11" t="s">
        <v>49</v>
      </c>
      <c r="C8" s="11">
        <v>787</v>
      </c>
      <c r="D8" s="22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  <c r="R8" s="20">
        <f t="shared" si="11"/>
        <v>5.8823529411766522</v>
      </c>
      <c r="S8">
        <f t="shared" si="12"/>
        <v>2</v>
      </c>
      <c r="T8" s="16">
        <f t="shared" si="13"/>
        <v>5.8823529411768245</v>
      </c>
      <c r="U8" s="17">
        <f t="shared" si="14"/>
        <v>10.714285714285714</v>
      </c>
      <c r="V8">
        <f t="shared" si="15"/>
        <v>2</v>
      </c>
      <c r="W8" s="21">
        <f t="shared" si="16"/>
        <v>18.319724697874467</v>
      </c>
      <c r="X8" s="17">
        <f t="shared" si="17"/>
        <v>10.714285714285714</v>
      </c>
      <c r="Y8" s="15">
        <f t="shared" si="18"/>
        <v>-1.2418667918433208</v>
      </c>
      <c r="AA8" s="16">
        <f t="shared" si="19"/>
        <v>-12.437371756697814</v>
      </c>
    </row>
    <row r="9" spans="2:27">
      <c r="B9" s="11" t="s">
        <v>50</v>
      </c>
      <c r="C9" s="11">
        <v>835</v>
      </c>
      <c r="D9" s="22">
        <v>22</v>
      </c>
      <c r="E9" s="13">
        <f t="shared" si="0"/>
        <v>0.97365269461077841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0.99559147685525351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  <c r="R9" s="20">
        <f t="shared" si="11"/>
        <v>31.249999999999748</v>
      </c>
      <c r="S9">
        <f t="shared" si="12"/>
        <v>6</v>
      </c>
      <c r="T9" s="16">
        <f t="shared" si="13"/>
        <v>31.250000000000036</v>
      </c>
      <c r="U9" s="17">
        <f t="shared" si="14"/>
        <v>39.285714285714285</v>
      </c>
      <c r="V9">
        <f t="shared" si="15"/>
        <v>6</v>
      </c>
      <c r="W9" s="21">
        <f t="shared" si="16"/>
        <v>43.064285576549466</v>
      </c>
      <c r="X9" s="17">
        <f t="shared" si="17"/>
        <v>39.285714285714285</v>
      </c>
      <c r="Y9" s="15">
        <f t="shared" si="18"/>
        <v>-0.27188000539926088</v>
      </c>
      <c r="AA9" s="16">
        <f t="shared" si="19"/>
        <v>-11.814285576549718</v>
      </c>
    </row>
    <row r="10" spans="2:27">
      <c r="B10" s="11" t="s">
        <v>51</v>
      </c>
      <c r="C10" s="11">
        <v>890</v>
      </c>
      <c r="D10" s="22">
        <v>22</v>
      </c>
      <c r="E10" s="13">
        <f t="shared" si="0"/>
        <v>0.97528089887640446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1.002309468822171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  <c r="R10" s="20">
        <f t="shared" si="11"/>
        <v>63.157894736842131</v>
      </c>
      <c r="S10">
        <f t="shared" si="12"/>
        <v>11</v>
      </c>
      <c r="T10" s="16">
        <f t="shared" si="13"/>
        <v>63.157894736842508</v>
      </c>
      <c r="U10" s="17">
        <f t="shared" si="14"/>
        <v>75</v>
      </c>
      <c r="V10">
        <f t="shared" si="15"/>
        <v>11</v>
      </c>
      <c r="W10" s="21">
        <f t="shared" si="16"/>
        <v>67.206371178471485</v>
      </c>
      <c r="X10" s="17">
        <f t="shared" si="17"/>
        <v>75</v>
      </c>
      <c r="Y10" s="15">
        <f t="shared" si="18"/>
        <v>0.67448975019608193</v>
      </c>
      <c r="AA10" s="16">
        <f t="shared" si="19"/>
        <v>-4.0484764416293544</v>
      </c>
    </row>
    <row r="11" spans="2:27">
      <c r="B11" s="11" t="s">
        <v>52</v>
      </c>
      <c r="C11" s="11">
        <v>976</v>
      </c>
      <c r="D11" s="22">
        <v>24</v>
      </c>
      <c r="E11" s="13">
        <f t="shared" si="0"/>
        <v>0.97540983606557374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0.99529534762153682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  <c r="R11" s="20">
        <f t="shared" si="11"/>
        <v>23.529411764705582</v>
      </c>
      <c r="S11">
        <f t="shared" si="12"/>
        <v>5</v>
      </c>
      <c r="T11" s="16">
        <f t="shared" si="13"/>
        <v>23.529411764705369</v>
      </c>
      <c r="U11" s="17">
        <f t="shared" si="14"/>
        <v>32.142857142857146</v>
      </c>
      <c r="V11">
        <f t="shared" si="15"/>
        <v>5</v>
      </c>
      <c r="W11" s="21">
        <f t="shared" si="16"/>
        <v>38.170720626092368</v>
      </c>
      <c r="X11" s="17">
        <f t="shared" si="17"/>
        <v>32.142857142857146</v>
      </c>
      <c r="Y11" s="15">
        <f t="shared" si="18"/>
        <v>-0.46370775145717902</v>
      </c>
      <c r="AA11" s="16">
        <f t="shared" si="19"/>
        <v>-14.641308861386786</v>
      </c>
    </row>
    <row r="12" spans="2:27">
      <c r="B12" s="11" t="s">
        <v>53</v>
      </c>
      <c r="C12" s="11">
        <v>1056</v>
      </c>
      <c r="D12" s="22">
        <v>26</v>
      </c>
      <c r="E12" s="13">
        <f t="shared" si="0"/>
        <v>0.97537878787878785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0.99728892331525942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  <c r="R12" s="20">
        <f t="shared" si="11"/>
        <v>36.842105263157798</v>
      </c>
      <c r="S12">
        <f t="shared" si="12"/>
        <v>7</v>
      </c>
      <c r="T12" s="16">
        <f t="shared" si="13"/>
        <v>36.84210526315767</v>
      </c>
      <c r="U12" s="17">
        <f t="shared" si="14"/>
        <v>46.428571428571431</v>
      </c>
      <c r="V12">
        <f t="shared" si="15"/>
        <v>7</v>
      </c>
      <c r="W12" s="21">
        <f t="shared" si="16"/>
        <v>47.713205329699932</v>
      </c>
      <c r="X12" s="17">
        <f t="shared" si="17"/>
        <v>46.428571428571431</v>
      </c>
      <c r="Y12" s="15">
        <f t="shared" si="18"/>
        <v>-8.9642351075762544E-2</v>
      </c>
      <c r="AA12" s="16">
        <f t="shared" si="19"/>
        <v>-10.871100066542134</v>
      </c>
    </row>
    <row r="13" spans="2:27">
      <c r="B13" s="11" t="s">
        <v>54</v>
      </c>
      <c r="C13" s="11">
        <v>1107</v>
      </c>
      <c r="D13" s="22">
        <v>17</v>
      </c>
      <c r="E13" s="13">
        <f t="shared" si="0"/>
        <v>0.98464317976513094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1.0057206126591622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  <c r="R13" s="20">
        <f t="shared" si="11"/>
        <v>84.210526315789409</v>
      </c>
      <c r="S13">
        <f t="shared" si="12"/>
        <v>13</v>
      </c>
      <c r="T13" s="16">
        <f t="shared" si="13"/>
        <v>84.210526315790446</v>
      </c>
      <c r="U13" s="17">
        <f t="shared" si="14"/>
        <v>89.285714285714292</v>
      </c>
      <c r="V13">
        <f t="shared" si="15"/>
        <v>13</v>
      </c>
      <c r="W13" s="21">
        <f t="shared" si="16"/>
        <v>81.680275302125523</v>
      </c>
      <c r="X13" s="17">
        <f t="shared" si="17"/>
        <v>89.285714285714292</v>
      </c>
      <c r="Y13" s="15">
        <f t="shared" si="18"/>
        <v>1.2418667918433208</v>
      </c>
      <c r="AA13" s="16">
        <f t="shared" si="19"/>
        <v>2.5302510136638858</v>
      </c>
    </row>
    <row r="14" spans="2:27">
      <c r="B14" s="11" t="s">
        <v>55</v>
      </c>
      <c r="C14" s="11">
        <v>1146</v>
      </c>
      <c r="D14" s="22">
        <v>31</v>
      </c>
      <c r="E14" s="13">
        <f t="shared" si="0"/>
        <v>0.97294938917975571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0.99892492384877263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  <c r="R14" s="20">
        <f t="shared" si="11"/>
        <v>47.619047619047933</v>
      </c>
      <c r="S14">
        <f t="shared" si="12"/>
        <v>8</v>
      </c>
      <c r="T14" s="16">
        <f t="shared" si="13"/>
        <v>47.619047619047791</v>
      </c>
      <c r="U14" s="17">
        <f t="shared" si="14"/>
        <v>53.571428571428569</v>
      </c>
      <c r="V14">
        <f t="shared" si="15"/>
        <v>8</v>
      </c>
      <c r="W14" s="21">
        <f t="shared" si="16"/>
        <v>52.286794670300068</v>
      </c>
      <c r="X14" s="17">
        <f t="shared" si="17"/>
        <v>53.571428571428569</v>
      </c>
      <c r="Y14" s="15">
        <f t="shared" si="18"/>
        <v>8.9642351075762544E-2</v>
      </c>
      <c r="AA14" s="16">
        <f t="shared" si="19"/>
        <v>-4.6677470512521353</v>
      </c>
    </row>
    <row r="15" spans="2:27">
      <c r="B15" s="11" t="s">
        <v>56</v>
      </c>
      <c r="C15" s="11">
        <v>1204</v>
      </c>
      <c r="D15" s="22">
        <v>41</v>
      </c>
      <c r="E15" s="13">
        <f t="shared" si="0"/>
        <v>0.96594684385382057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0.99376228317525428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  <c r="R15" s="20">
        <f t="shared" si="11"/>
        <v>18.181818181818237</v>
      </c>
      <c r="S15">
        <f t="shared" si="12"/>
        <v>4</v>
      </c>
      <c r="T15" s="16">
        <f t="shared" si="13"/>
        <v>18.18181818181861</v>
      </c>
      <c r="U15" s="17">
        <f t="shared" si="14"/>
        <v>25</v>
      </c>
      <c r="V15">
        <f t="shared" si="15"/>
        <v>4</v>
      </c>
      <c r="W15" s="21">
        <f t="shared" si="16"/>
        <v>32.793628821528515</v>
      </c>
      <c r="X15" s="17">
        <f t="shared" si="17"/>
        <v>25</v>
      </c>
      <c r="Y15" s="15">
        <f t="shared" si="18"/>
        <v>-0.67448975019608193</v>
      </c>
      <c r="AA15" s="16">
        <f t="shared" si="19"/>
        <v>-14.611810639710278</v>
      </c>
    </row>
    <row r="16" spans="2:27">
      <c r="B16" s="11" t="s">
        <v>57</v>
      </c>
      <c r="C16" s="11">
        <v>1481</v>
      </c>
      <c r="D16" s="22">
        <v>36</v>
      </c>
      <c r="E16" s="13">
        <f t="shared" si="0"/>
        <v>0.97569209993247807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1.0076708507670851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  <c r="R16" s="20">
        <f t="shared" si="11"/>
        <v>92.592592592592752</v>
      </c>
      <c r="S16">
        <f t="shared" si="12"/>
        <v>14</v>
      </c>
      <c r="T16" s="16">
        <f t="shared" si="13"/>
        <v>92.592592592592325</v>
      </c>
      <c r="U16" s="17">
        <f t="shared" si="14"/>
        <v>96.428571428571431</v>
      </c>
      <c r="V16">
        <f t="shared" si="15"/>
        <v>14</v>
      </c>
      <c r="W16" s="21">
        <f t="shared" si="16"/>
        <v>95.988344151509978</v>
      </c>
      <c r="X16" s="17">
        <f t="shared" si="17"/>
        <v>96.428571428571431</v>
      </c>
      <c r="Y16" s="15">
        <f t="shared" si="18"/>
        <v>1.8027430907391906</v>
      </c>
      <c r="AA16" s="16">
        <f t="shared" si="19"/>
        <v>-3.395751558917226</v>
      </c>
    </row>
    <row r="17" spans="2:27">
      <c r="B17" s="11" t="s">
        <v>58</v>
      </c>
      <c r="C17" s="11">
        <v>1881</v>
      </c>
      <c r="D17" s="22">
        <v>67</v>
      </c>
      <c r="E17" s="13">
        <f t="shared" si="0"/>
        <v>0.96438064859117489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0.98710344452304499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  <c r="R17" s="20">
        <f t="shared" si="11"/>
        <v>-44.000000000000632</v>
      </c>
      <c r="S17">
        <f t="shared" si="12"/>
        <v>1</v>
      </c>
      <c r="T17" s="16">
        <f t="shared" si="13"/>
        <v>-44.000000000000682</v>
      </c>
      <c r="U17" s="17">
        <f t="shared" si="14"/>
        <v>3.5714285714285716</v>
      </c>
      <c r="V17">
        <f t="shared" si="15"/>
        <v>1</v>
      </c>
      <c r="W17" s="21">
        <f t="shared" si="16"/>
        <v>4.0116558484900464</v>
      </c>
      <c r="X17" s="17">
        <f t="shared" si="17"/>
        <v>3.5714285714285716</v>
      </c>
      <c r="Y17" s="15">
        <f t="shared" si="18"/>
        <v>-1.8027430907391901</v>
      </c>
      <c r="AA17" s="16">
        <f t="shared" si="19"/>
        <v>-48.011655848490676</v>
      </c>
    </row>
    <row r="19" spans="2:27">
      <c r="AA19" s="16">
        <f>SUM(AA4:AA17)</f>
        <v>-152.57948868010936</v>
      </c>
    </row>
    <row r="20" spans="2:27">
      <c r="C20" t="s">
        <v>32</v>
      </c>
    </row>
    <row r="21" spans="2:27" ht="36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  <c r="T21" s="1" t="s">
        <v>43</v>
      </c>
      <c r="U21" s="18" t="s">
        <v>42</v>
      </c>
      <c r="V21" s="18" t="s">
        <v>41</v>
      </c>
    </row>
    <row r="22" spans="2:27">
      <c r="B22" s="5" t="s">
        <v>0</v>
      </c>
      <c r="C22" s="2"/>
      <c r="D22" s="2"/>
      <c r="E22" s="2"/>
      <c r="F22" s="2"/>
      <c r="G22" s="2"/>
      <c r="H22" s="2"/>
      <c r="S22">
        <v>1</v>
      </c>
      <c r="T22" s="19">
        <f>100*(V22-(-1.96))/3.92</f>
        <v>4.0116558484900464</v>
      </c>
      <c r="U22" s="17">
        <f>100*(2*S22-1)/28</f>
        <v>3.5714285714285716</v>
      </c>
      <c r="V22" s="15">
        <f>_xlfn.NORM.INV(U22/100,0,1)</f>
        <v>-1.8027430907391901</v>
      </c>
    </row>
    <row r="23" spans="2:27">
      <c r="B23" s="2" t="str">
        <f>B4</f>
        <v>A</v>
      </c>
      <c r="C23" s="6">
        <f>M4</f>
        <v>0.96593797661413316</v>
      </c>
      <c r="D23" s="6">
        <f>N4-M4</f>
        <v>1.5251652262328386E-2</v>
      </c>
      <c r="E23" s="6">
        <f>O4-N4</f>
        <v>3.5587188612099641E-2</v>
      </c>
      <c r="F23" s="6">
        <f>P4-O4</f>
        <v>0</v>
      </c>
      <c r="G23" s="6">
        <f>1.03-P4</f>
        <v>1.3223182511438836E-2</v>
      </c>
      <c r="H23" s="6">
        <f>L4</f>
        <v>0.98627351296390431</v>
      </c>
      <c r="I23" t="str">
        <f t="shared" ref="I23:I36" si="20">B23 &amp; " (" &amp; C4 &amp; ")"</f>
        <v>A (200)</v>
      </c>
      <c r="S23">
        <v>2</v>
      </c>
      <c r="T23" s="19">
        <f t="shared" ref="T23:T35" si="21">100*(V23-(-1.96))/3.92</f>
        <v>18.319724697874467</v>
      </c>
      <c r="U23" s="17">
        <f t="shared" ref="U23:U35" si="22">100*(2*S23-1)/28</f>
        <v>10.714285714285714</v>
      </c>
      <c r="V23" s="15">
        <f t="shared" ref="V23:V35" si="23">_xlfn.NORM.INV(U23/100,0,1)</f>
        <v>-1.2418667918433208</v>
      </c>
    </row>
    <row r="24" spans="2:27">
      <c r="B24" s="2" t="str">
        <f t="shared" ref="B24:B36" si="24">B5</f>
        <v>B</v>
      </c>
      <c r="C24" s="6">
        <f t="shared" ref="C24:C36" si="25">M5</f>
        <v>0.97337593184238547</v>
      </c>
      <c r="D24" s="6">
        <f t="shared" ref="D24:D36" si="26">N5-M5</f>
        <v>1.0649627263045858E-2</v>
      </c>
      <c r="E24" s="6">
        <f t="shared" ref="E24:E36" si="27">O5-N5</f>
        <v>2.9818956336528202E-2</v>
      </c>
      <c r="F24" s="6">
        <f t="shared" ref="F24:F36" si="28">P5-O5</f>
        <v>6.389776357827559E-3</v>
      </c>
      <c r="G24" s="6">
        <f t="shared" ref="G24:G36" si="29">1.03-P5</f>
        <v>9.7657082002129414E-3</v>
      </c>
      <c r="H24" s="6">
        <f t="shared" ref="H24:H36" si="30">L5</f>
        <v>1.0031948881789137</v>
      </c>
      <c r="I24" t="str">
        <f t="shared" si="20"/>
        <v>B (482)</v>
      </c>
      <c r="S24">
        <v>3</v>
      </c>
      <c r="T24" s="19">
        <f t="shared" si="21"/>
        <v>26.509617949786243</v>
      </c>
      <c r="U24" s="17">
        <f t="shared" si="22"/>
        <v>17.857142857142858</v>
      </c>
      <c r="V24" s="15">
        <f t="shared" si="23"/>
        <v>-0.9208229763683794</v>
      </c>
    </row>
    <row r="25" spans="2:27">
      <c r="B25" s="2" t="str">
        <f t="shared" si="24"/>
        <v>C</v>
      </c>
      <c r="C25" s="6">
        <f t="shared" si="25"/>
        <v>0.97711267605633811</v>
      </c>
      <c r="D25" s="6">
        <f t="shared" si="26"/>
        <v>8.8028169014083835E-3</v>
      </c>
      <c r="E25" s="6">
        <f t="shared" si="27"/>
        <v>2.6408450704225483E-2</v>
      </c>
      <c r="F25" s="6">
        <f t="shared" si="28"/>
        <v>5.2816901408450079E-3</v>
      </c>
      <c r="G25" s="6">
        <f t="shared" si="29"/>
        <v>1.2394366197183038E-2</v>
      </c>
      <c r="H25" s="6">
        <f t="shared" si="30"/>
        <v>1</v>
      </c>
      <c r="I25" t="str">
        <f t="shared" si="20"/>
        <v>C (582)</v>
      </c>
      <c r="S25">
        <v>4</v>
      </c>
      <c r="T25" s="19">
        <f t="shared" si="21"/>
        <v>32.793628821528515</v>
      </c>
      <c r="U25" s="17">
        <f t="shared" si="22"/>
        <v>25</v>
      </c>
      <c r="V25" s="15">
        <f t="shared" si="23"/>
        <v>-0.67448975019608193</v>
      </c>
    </row>
    <row r="26" spans="2:27">
      <c r="B26" s="2" t="str">
        <f t="shared" si="24"/>
        <v>D</v>
      </c>
      <c r="C26" s="6">
        <f t="shared" si="25"/>
        <v>0.97771714415643485</v>
      </c>
      <c r="D26" s="6">
        <f t="shared" si="26"/>
        <v>9.0950432014551552E-3</v>
      </c>
      <c r="E26" s="6">
        <f t="shared" si="27"/>
        <v>2.4253448537214006E-2</v>
      </c>
      <c r="F26" s="6">
        <f t="shared" si="28"/>
        <v>6.0633621343033628E-3</v>
      </c>
      <c r="G26" s="6">
        <f t="shared" si="29"/>
        <v>1.2871001970592655E-2</v>
      </c>
      <c r="H26" s="6">
        <f t="shared" si="30"/>
        <v>1.0004547521600728</v>
      </c>
      <c r="I26" t="str">
        <f t="shared" si="20"/>
        <v>D (678)</v>
      </c>
      <c r="S26">
        <v>5</v>
      </c>
      <c r="T26" s="19">
        <f t="shared" si="21"/>
        <v>38.170720626092368</v>
      </c>
      <c r="U26" s="17">
        <f t="shared" si="22"/>
        <v>32.142857142857146</v>
      </c>
      <c r="V26" s="15">
        <f t="shared" si="23"/>
        <v>-0.46370775145717902</v>
      </c>
    </row>
    <row r="27" spans="2:27">
      <c r="B27" s="2" t="str">
        <f t="shared" si="24"/>
        <v>E</v>
      </c>
      <c r="C27" s="6">
        <f t="shared" si="25"/>
        <v>0.98136322168643297</v>
      </c>
      <c r="D27" s="6">
        <f t="shared" si="26"/>
        <v>6.5163560536947163E-3</v>
      </c>
      <c r="E27" s="6">
        <f t="shared" si="27"/>
        <v>2.2155610582562213E-2</v>
      </c>
      <c r="F27" s="6">
        <f t="shared" si="28"/>
        <v>5.2130848429559062E-3</v>
      </c>
      <c r="G27" s="6">
        <f t="shared" si="29"/>
        <v>1.4751726834354217E-2</v>
      </c>
      <c r="H27" s="6">
        <f t="shared" si="30"/>
        <v>0.98918284895086672</v>
      </c>
      <c r="I27" t="str">
        <f t="shared" si="20"/>
        <v>E (787)</v>
      </c>
      <c r="S27">
        <v>6</v>
      </c>
      <c r="T27" s="19">
        <f t="shared" si="21"/>
        <v>43.064285576549466</v>
      </c>
      <c r="U27" s="17">
        <f t="shared" si="22"/>
        <v>39.285714285714285</v>
      </c>
      <c r="V27" s="15">
        <f t="shared" si="23"/>
        <v>-0.27188000539926088</v>
      </c>
    </row>
    <row r="28" spans="2:27">
      <c r="B28" s="2" t="str">
        <f t="shared" si="24"/>
        <v>F</v>
      </c>
      <c r="C28" s="6">
        <f t="shared" si="25"/>
        <v>0.98212098946852799</v>
      </c>
      <c r="D28" s="6">
        <f t="shared" si="26"/>
        <v>7.3475385745775945E-3</v>
      </c>
      <c r="E28" s="6">
        <f t="shared" si="27"/>
        <v>1.9593436198873326E-2</v>
      </c>
      <c r="F28" s="6">
        <f t="shared" si="28"/>
        <v>4.8983590497184704E-3</v>
      </c>
      <c r="G28" s="6">
        <f t="shared" si="29"/>
        <v>1.6039676708302641E-2</v>
      </c>
      <c r="H28" s="6">
        <f t="shared" si="30"/>
        <v>0.99559147685525351</v>
      </c>
      <c r="I28" t="str">
        <f t="shared" si="20"/>
        <v>F (835)</v>
      </c>
      <c r="S28">
        <v>7</v>
      </c>
      <c r="T28" s="19">
        <f t="shared" si="21"/>
        <v>47.713205329699932</v>
      </c>
      <c r="U28" s="17">
        <f t="shared" si="22"/>
        <v>46.428571428571431</v>
      </c>
      <c r="V28" s="15">
        <f t="shared" si="23"/>
        <v>-8.9642351075762544E-2</v>
      </c>
    </row>
    <row r="29" spans="2:27">
      <c r="B29" s="2" t="str">
        <f t="shared" si="24"/>
        <v>G</v>
      </c>
      <c r="C29" s="6">
        <f t="shared" si="25"/>
        <v>0.98152424942263283</v>
      </c>
      <c r="D29" s="6">
        <f t="shared" si="26"/>
        <v>6.9284064665126044E-3</v>
      </c>
      <c r="E29" s="6">
        <f t="shared" si="27"/>
        <v>2.1939953810623636E-2</v>
      </c>
      <c r="F29" s="6">
        <f t="shared" si="28"/>
        <v>4.6189376443417363E-3</v>
      </c>
      <c r="G29" s="6">
        <f t="shared" si="29"/>
        <v>1.4988452655889217E-2</v>
      </c>
      <c r="H29" s="6">
        <f t="shared" si="30"/>
        <v>1.002309468822171</v>
      </c>
      <c r="I29" t="str">
        <f t="shared" si="20"/>
        <v>G (890)</v>
      </c>
      <c r="S29">
        <v>8</v>
      </c>
      <c r="T29" s="19">
        <f t="shared" si="21"/>
        <v>52.286794670300068</v>
      </c>
      <c r="U29" s="17">
        <f t="shared" si="22"/>
        <v>53.571428571428569</v>
      </c>
      <c r="V29" s="15">
        <f t="shared" si="23"/>
        <v>8.9642351075762544E-2</v>
      </c>
    </row>
    <row r="30" spans="2:27">
      <c r="B30" s="2" t="str">
        <f t="shared" si="24"/>
        <v>H</v>
      </c>
      <c r="C30" s="6">
        <f t="shared" si="25"/>
        <v>0.98484056455828539</v>
      </c>
      <c r="D30" s="6">
        <f t="shared" si="26"/>
        <v>6.2728698379509451E-3</v>
      </c>
      <c r="E30" s="6">
        <f t="shared" si="27"/>
        <v>1.7773131207527437E-2</v>
      </c>
      <c r="F30" s="6">
        <f t="shared" si="28"/>
        <v>3.136434918975306E-3</v>
      </c>
      <c r="G30" s="6">
        <f t="shared" si="29"/>
        <v>1.7976999477260946E-2</v>
      </c>
      <c r="H30" s="6">
        <f t="shared" si="30"/>
        <v>0.99529534762153682</v>
      </c>
      <c r="I30" t="str">
        <f t="shared" si="20"/>
        <v>H (976)</v>
      </c>
      <c r="S30">
        <v>9</v>
      </c>
      <c r="T30" s="19">
        <f t="shared" si="21"/>
        <v>56.935714423450534</v>
      </c>
      <c r="U30" s="17">
        <f t="shared" si="22"/>
        <v>60.714285714285715</v>
      </c>
      <c r="V30" s="15">
        <f t="shared" si="23"/>
        <v>0.27188000539926105</v>
      </c>
    </row>
    <row r="31" spans="2:27">
      <c r="B31" s="2" t="str">
        <f t="shared" si="24"/>
        <v>I</v>
      </c>
      <c r="C31" s="6">
        <f t="shared" si="25"/>
        <v>0.98470178156467847</v>
      </c>
      <c r="D31" s="6">
        <f t="shared" si="26"/>
        <v>5.8094500387297909E-3</v>
      </c>
      <c r="E31" s="6">
        <f t="shared" si="27"/>
        <v>1.8396591789310413E-2</v>
      </c>
      <c r="F31" s="6">
        <f t="shared" si="28"/>
        <v>3.8729666924866013E-3</v>
      </c>
      <c r="G31" s="6">
        <f t="shared" si="29"/>
        <v>1.7219209914794753E-2</v>
      </c>
      <c r="H31" s="6">
        <f t="shared" si="30"/>
        <v>0.99728892331525942</v>
      </c>
      <c r="I31" t="str">
        <f t="shared" si="20"/>
        <v>I (1056)</v>
      </c>
      <c r="S31">
        <v>10</v>
      </c>
      <c r="T31" s="19">
        <f t="shared" si="21"/>
        <v>61.829279373907625</v>
      </c>
      <c r="U31" s="17">
        <f t="shared" si="22"/>
        <v>67.857142857142861</v>
      </c>
      <c r="V31" s="15">
        <f t="shared" si="23"/>
        <v>0.46370775145717918</v>
      </c>
    </row>
    <row r="32" spans="2:27">
      <c r="B32" s="2" t="str">
        <f t="shared" si="24"/>
        <v>J</v>
      </c>
      <c r="C32" s="6">
        <f t="shared" si="25"/>
        <v>0.98542166451374791</v>
      </c>
      <c r="D32" s="6">
        <f t="shared" si="26"/>
        <v>5.5360767669311306E-3</v>
      </c>
      <c r="E32" s="6">
        <f t="shared" si="27"/>
        <v>1.7530909761948599E-2</v>
      </c>
      <c r="F32" s="6">
        <f t="shared" si="28"/>
        <v>3.6907178446208277E-3</v>
      </c>
      <c r="G32" s="6">
        <f t="shared" si="29"/>
        <v>1.7820631112751562E-2</v>
      </c>
      <c r="H32" s="6">
        <f t="shared" si="30"/>
        <v>1.0057206126591622</v>
      </c>
      <c r="I32" t="str">
        <f t="shared" si="20"/>
        <v>J (1107)</v>
      </c>
      <c r="S32">
        <v>11</v>
      </c>
      <c r="T32" s="19">
        <f t="shared" si="21"/>
        <v>67.206371178471485</v>
      </c>
      <c r="U32" s="17">
        <f t="shared" si="22"/>
        <v>75</v>
      </c>
      <c r="V32" s="15">
        <f t="shared" si="23"/>
        <v>0.67448975019608193</v>
      </c>
    </row>
    <row r="33" spans="2:22">
      <c r="B33" s="2" t="str">
        <f t="shared" si="24"/>
        <v>K</v>
      </c>
      <c r="C33" s="6">
        <f t="shared" si="25"/>
        <v>0.98369467837305136</v>
      </c>
      <c r="D33" s="6">
        <f t="shared" si="26"/>
        <v>6.2712775488263928E-3</v>
      </c>
      <c r="E33" s="6">
        <f t="shared" si="27"/>
        <v>1.8813832646479178E-2</v>
      </c>
      <c r="F33" s="6">
        <f t="shared" si="28"/>
        <v>4.4794839634474393E-3</v>
      </c>
      <c r="G33" s="6">
        <f t="shared" si="29"/>
        <v>1.674072746819566E-2</v>
      </c>
      <c r="H33" s="6">
        <f t="shared" si="30"/>
        <v>0.99892492384877263</v>
      </c>
      <c r="I33" t="str">
        <f t="shared" si="20"/>
        <v>K (1146)</v>
      </c>
      <c r="S33">
        <v>12</v>
      </c>
      <c r="T33" s="19">
        <f t="shared" si="21"/>
        <v>73.490382050213768</v>
      </c>
      <c r="U33" s="17">
        <f t="shared" si="22"/>
        <v>82.142857142857139</v>
      </c>
      <c r="V33" s="15">
        <f t="shared" si="23"/>
        <v>0.9208229763683794</v>
      </c>
    </row>
    <row r="34" spans="2:22">
      <c r="B34" s="2" t="str">
        <f t="shared" si="24"/>
        <v>L</v>
      </c>
      <c r="C34" s="6">
        <f t="shared" si="25"/>
        <v>0.9835085020934804</v>
      </c>
      <c r="D34" s="6">
        <f t="shared" si="26"/>
        <v>6.8358540545158109E-3</v>
      </c>
      <c r="E34" s="6">
        <f t="shared" si="27"/>
        <v>1.8798598649918952E-2</v>
      </c>
      <c r="F34" s="6">
        <f t="shared" si="28"/>
        <v>5.1268905408869969E-3</v>
      </c>
      <c r="G34" s="6">
        <f t="shared" si="29"/>
        <v>1.573015466119787E-2</v>
      </c>
      <c r="H34" s="6">
        <f t="shared" si="30"/>
        <v>0.99376228317525428</v>
      </c>
      <c r="I34" t="str">
        <f t="shared" si="20"/>
        <v>L (1204)</v>
      </c>
      <c r="S34">
        <v>13</v>
      </c>
      <c r="T34" s="19">
        <f t="shared" si="21"/>
        <v>81.680275302125523</v>
      </c>
      <c r="U34" s="17">
        <f t="shared" si="22"/>
        <v>89.285714285714292</v>
      </c>
      <c r="V34" s="15">
        <f t="shared" si="23"/>
        <v>1.2418667918433208</v>
      </c>
    </row>
    <row r="35" spans="2:22">
      <c r="B35" s="2" t="str">
        <f t="shared" si="24"/>
        <v>M</v>
      </c>
      <c r="C35" s="6">
        <f t="shared" si="25"/>
        <v>0.98465829846582986</v>
      </c>
      <c r="D35" s="6">
        <f t="shared" si="26"/>
        <v>5.5788005578799593E-3</v>
      </c>
      <c r="E35" s="6">
        <f t="shared" si="27"/>
        <v>1.8828451882845321E-2</v>
      </c>
      <c r="F35" s="6">
        <f t="shared" si="28"/>
        <v>4.1841004184099972E-3</v>
      </c>
      <c r="G35" s="6">
        <f t="shared" si="29"/>
        <v>1.6750348675034887E-2</v>
      </c>
      <c r="H35" s="6">
        <f t="shared" si="30"/>
        <v>1.0076708507670851</v>
      </c>
      <c r="I35" t="str">
        <f t="shared" si="20"/>
        <v>M (1481)</v>
      </c>
      <c r="S35">
        <v>14</v>
      </c>
      <c r="T35" s="19">
        <f t="shared" si="21"/>
        <v>95.988344151509978</v>
      </c>
      <c r="U35" s="17">
        <f t="shared" si="22"/>
        <v>96.428571428571431</v>
      </c>
      <c r="V35" s="15">
        <f t="shared" si="23"/>
        <v>1.8027430907391906</v>
      </c>
    </row>
    <row r="36" spans="2:22">
      <c r="B36" s="2" t="str">
        <f t="shared" si="24"/>
        <v>N</v>
      </c>
      <c r="C36" s="6">
        <f t="shared" si="25"/>
        <v>0.98819176144093157</v>
      </c>
      <c r="D36" s="6">
        <f t="shared" si="26"/>
        <v>4.8974261304891575E-3</v>
      </c>
      <c r="E36" s="6">
        <f t="shared" si="27"/>
        <v>1.3603961473581005E-2</v>
      </c>
      <c r="F36" s="6">
        <f t="shared" si="28"/>
        <v>3.2649507536595124E-3</v>
      </c>
      <c r="G36" s="6">
        <f t="shared" si="29"/>
        <v>2.004190020133878E-2</v>
      </c>
      <c r="H36" s="6">
        <f t="shared" si="30"/>
        <v>0.98710344452304499</v>
      </c>
      <c r="I36" t="str">
        <f t="shared" si="20"/>
        <v>N (1881)</v>
      </c>
    </row>
    <row r="38" spans="2:22">
      <c r="C38" t="s">
        <v>37</v>
      </c>
    </row>
    <row r="39" spans="2:22" ht="24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22">
      <c r="B40" s="5" t="s">
        <v>0</v>
      </c>
      <c r="C40" s="2"/>
      <c r="D40" s="2"/>
      <c r="E40" s="2"/>
      <c r="F40" s="2"/>
      <c r="G40" s="2"/>
      <c r="H40" s="2"/>
    </row>
    <row r="41" spans="2:22">
      <c r="B41" s="2" t="s">
        <v>3</v>
      </c>
      <c r="C41" s="6">
        <f>H4</f>
        <v>0.95</v>
      </c>
      <c r="D41" s="6">
        <f>I4-H4</f>
        <v>1.5000000000000013E-2</v>
      </c>
      <c r="E41" s="6">
        <f>J4-I4</f>
        <v>3.5000000000000031E-2</v>
      </c>
      <c r="F41" s="6">
        <f>K4-J4</f>
        <v>0</v>
      </c>
      <c r="G41" s="6">
        <f>1-K4</f>
        <v>0</v>
      </c>
      <c r="H41" s="6">
        <f>E4</f>
        <v>0.97</v>
      </c>
    </row>
    <row r="42" spans="2:22">
      <c r="B42" s="2" t="s">
        <v>4</v>
      </c>
      <c r="C42" s="6">
        <f t="shared" ref="C42:C54" si="31">H5</f>
        <v>0.94813278008298751</v>
      </c>
      <c r="D42" s="6">
        <f t="shared" ref="D42:F42" si="32">I5-H5</f>
        <v>1.0373443983402564E-2</v>
      </c>
      <c r="E42" s="6">
        <f t="shared" si="32"/>
        <v>2.9045643153526979E-2</v>
      </c>
      <c r="F42" s="6">
        <f t="shared" si="32"/>
        <v>6.2240663900414717E-3</v>
      </c>
      <c r="G42" s="6">
        <f t="shared" ref="G42:G54" si="33">1-K5</f>
        <v>6.2240663900414717E-3</v>
      </c>
      <c r="H42" s="6">
        <f t="shared" ref="H42:H54" si="34">E5</f>
        <v>0.97717842323651449</v>
      </c>
    </row>
    <row r="43" spans="2:22">
      <c r="B43" s="2" t="s">
        <v>5</v>
      </c>
      <c r="C43" s="6">
        <f t="shared" si="31"/>
        <v>0.95360824742268047</v>
      </c>
      <c r="D43" s="6">
        <f t="shared" ref="D43:F43" si="35">I6-H6</f>
        <v>8.5910652920961894E-3</v>
      </c>
      <c r="E43" s="6">
        <f t="shared" si="35"/>
        <v>2.5773195876288679E-2</v>
      </c>
      <c r="F43" s="6">
        <f t="shared" si="35"/>
        <v>5.1546391752577136E-3</v>
      </c>
      <c r="G43" s="6">
        <f t="shared" si="33"/>
        <v>6.8728522336769515E-3</v>
      </c>
      <c r="H43" s="6">
        <f t="shared" si="34"/>
        <v>0.97594501718213056</v>
      </c>
    </row>
    <row r="44" spans="2:22">
      <c r="B44" s="2" t="s">
        <v>6</v>
      </c>
      <c r="C44" s="6">
        <f t="shared" si="31"/>
        <v>0.95132743362831862</v>
      </c>
      <c r="D44" s="6">
        <f t="shared" ref="D44:F44" si="36">I7-H7</f>
        <v>8.8495575221239076E-3</v>
      </c>
      <c r="E44" s="6">
        <f t="shared" si="36"/>
        <v>2.359882005899705E-2</v>
      </c>
      <c r="F44" s="6">
        <f t="shared" si="36"/>
        <v>5.8997050147492347E-3</v>
      </c>
      <c r="G44" s="6">
        <f t="shared" si="33"/>
        <v>1.0324483775811188E-2</v>
      </c>
      <c r="H44" s="6">
        <f t="shared" si="34"/>
        <v>0.97345132743362828</v>
      </c>
    </row>
    <row r="45" spans="2:22">
      <c r="B45" s="2" t="s">
        <v>7</v>
      </c>
      <c r="C45" s="6">
        <f t="shared" si="31"/>
        <v>0.95679796696315123</v>
      </c>
      <c r="D45" s="6">
        <f t="shared" ref="D45:F45" si="37">I8-H8</f>
        <v>6.3532401524777349E-3</v>
      </c>
      <c r="E45" s="6">
        <f t="shared" si="37"/>
        <v>2.1601016518424387E-2</v>
      </c>
      <c r="F45" s="6">
        <f t="shared" si="37"/>
        <v>5.0825921219822545E-3</v>
      </c>
      <c r="G45" s="6">
        <f t="shared" si="33"/>
        <v>1.0165184243964398E-2</v>
      </c>
      <c r="H45" s="6">
        <f t="shared" si="34"/>
        <v>0.96442185514612455</v>
      </c>
    </row>
    <row r="46" spans="2:22">
      <c r="B46" s="2" t="s">
        <v>8</v>
      </c>
      <c r="C46" s="6">
        <f t="shared" si="31"/>
        <v>0.96047904191616762</v>
      </c>
      <c r="D46" s="6">
        <f t="shared" ref="D46:F46" si="38">I9-H9</f>
        <v>7.1856287425150489E-3</v>
      </c>
      <c r="E46" s="6">
        <f t="shared" si="38"/>
        <v>1.9161676646706538E-2</v>
      </c>
      <c r="F46" s="6">
        <f t="shared" si="38"/>
        <v>4.7904191616766623E-3</v>
      </c>
      <c r="G46" s="6">
        <f t="shared" si="33"/>
        <v>8.3832335329341312E-3</v>
      </c>
      <c r="H46" s="6">
        <f t="shared" si="34"/>
        <v>0.97365269461077841</v>
      </c>
    </row>
    <row r="47" spans="2:22">
      <c r="B47" s="2" t="s">
        <v>9</v>
      </c>
      <c r="C47" s="6">
        <f t="shared" si="31"/>
        <v>0.9550561797752809</v>
      </c>
      <c r="D47" s="6">
        <f t="shared" ref="D47:F47" si="39">I10-H10</f>
        <v>6.741573033707815E-3</v>
      </c>
      <c r="E47" s="6">
        <f t="shared" si="39"/>
        <v>2.1348314606741581E-2</v>
      </c>
      <c r="F47" s="6">
        <f t="shared" si="39"/>
        <v>4.4943820224719877E-3</v>
      </c>
      <c r="G47" s="6">
        <f t="shared" si="33"/>
        <v>1.2359550561797716E-2</v>
      </c>
      <c r="H47" s="6">
        <f t="shared" si="34"/>
        <v>0.97528089887640446</v>
      </c>
    </row>
    <row r="48" spans="2:22">
      <c r="B48" s="2" t="s">
        <v>10</v>
      </c>
      <c r="C48" s="6">
        <f t="shared" si="31"/>
        <v>0.9651639344262295</v>
      </c>
      <c r="D48" s="6">
        <f t="shared" ref="D48:F48" si="40">I11-H11</f>
        <v>6.147540983606592E-3</v>
      </c>
      <c r="E48" s="6">
        <f t="shared" si="40"/>
        <v>1.7418032786885251E-2</v>
      </c>
      <c r="F48" s="6">
        <f t="shared" si="40"/>
        <v>3.0737704918032405E-3</v>
      </c>
      <c r="G48" s="6">
        <f t="shared" si="33"/>
        <v>8.1967213114754189E-3</v>
      </c>
      <c r="H48" s="6">
        <f t="shared" si="34"/>
        <v>0.97540983606557374</v>
      </c>
    </row>
    <row r="49" spans="2:8">
      <c r="B49" s="2" t="s">
        <v>11</v>
      </c>
      <c r="C49" s="6">
        <f t="shared" si="31"/>
        <v>0.96306818181818177</v>
      </c>
      <c r="D49" s="6">
        <f t="shared" ref="D49:F49" si="41">I12-H12</f>
        <v>5.6818181818182323E-3</v>
      </c>
      <c r="E49" s="6">
        <f t="shared" si="41"/>
        <v>1.7992424242424199E-2</v>
      </c>
      <c r="F49" s="6">
        <f t="shared" si="41"/>
        <v>3.7878787878787845E-3</v>
      </c>
      <c r="G49" s="6">
        <f t="shared" si="33"/>
        <v>9.4696969696970168E-3</v>
      </c>
      <c r="H49" s="6">
        <f t="shared" si="34"/>
        <v>0.97537878787878785</v>
      </c>
    </row>
    <row r="50" spans="2:8">
      <c r="B50" s="2" t="s">
        <v>12</v>
      </c>
      <c r="C50" s="6">
        <f t="shared" si="31"/>
        <v>0.964769647696477</v>
      </c>
      <c r="D50" s="6">
        <f t="shared" ref="D50:F50" si="42">I13-H13</f>
        <v>5.4200542005419239E-3</v>
      </c>
      <c r="E50" s="6">
        <f t="shared" si="42"/>
        <v>1.7163504968383037E-2</v>
      </c>
      <c r="F50" s="6">
        <f t="shared" si="42"/>
        <v>3.6133694670280603E-3</v>
      </c>
      <c r="G50" s="6">
        <f t="shared" si="33"/>
        <v>9.0334236675699842E-3</v>
      </c>
      <c r="H50" s="6">
        <f t="shared" si="34"/>
        <v>0.98464317976513094</v>
      </c>
    </row>
    <row r="51" spans="2:8">
      <c r="B51" s="2" t="s">
        <v>13</v>
      </c>
      <c r="C51" s="6">
        <f t="shared" si="31"/>
        <v>0.95811518324607325</v>
      </c>
      <c r="D51" s="6">
        <f t="shared" ref="D51:F51" si="43">I14-H14</f>
        <v>6.10820244328103E-3</v>
      </c>
      <c r="E51" s="6">
        <f t="shared" si="43"/>
        <v>1.8324607329842868E-2</v>
      </c>
      <c r="F51" s="6">
        <f t="shared" si="43"/>
        <v>4.3630017452007674E-3</v>
      </c>
      <c r="G51" s="6">
        <f t="shared" si="33"/>
        <v>1.308900523560208E-2</v>
      </c>
      <c r="H51" s="6">
        <f t="shared" si="34"/>
        <v>0.97294938917975571</v>
      </c>
    </row>
    <row r="52" spans="2:8">
      <c r="B52" s="2" t="s">
        <v>14</v>
      </c>
      <c r="C52" s="6">
        <f t="shared" si="31"/>
        <v>0.95598006644518274</v>
      </c>
      <c r="D52" s="6">
        <f t="shared" ref="D52:F52" si="44">I15-H15</f>
        <v>6.6445182724251817E-3</v>
      </c>
      <c r="E52" s="6">
        <f t="shared" si="44"/>
        <v>1.8272425249169499E-2</v>
      </c>
      <c r="F52" s="6">
        <f t="shared" si="44"/>
        <v>4.983388704318914E-3</v>
      </c>
      <c r="G52" s="6">
        <f t="shared" si="33"/>
        <v>1.4119601328903664E-2</v>
      </c>
      <c r="H52" s="6">
        <f t="shared" si="34"/>
        <v>0.96594684385382057</v>
      </c>
    </row>
    <row r="53" spans="2:8">
      <c r="B53" s="2" t="s">
        <v>15</v>
      </c>
      <c r="C53" s="6">
        <f t="shared" si="31"/>
        <v>0.95340985820391633</v>
      </c>
      <c r="D53" s="6">
        <f t="shared" ref="D53:F53" si="45">I16-H16</f>
        <v>5.4017555705603293E-3</v>
      </c>
      <c r="E53" s="6">
        <f t="shared" si="45"/>
        <v>1.82309250506415E-2</v>
      </c>
      <c r="F53" s="6">
        <f t="shared" si="45"/>
        <v>4.051316677920358E-3</v>
      </c>
      <c r="G53" s="6">
        <f t="shared" si="33"/>
        <v>1.8906144496961486E-2</v>
      </c>
      <c r="H53" s="6">
        <f t="shared" si="34"/>
        <v>0.97569209993247807</v>
      </c>
    </row>
    <row r="54" spans="2:8">
      <c r="B54" s="2" t="s">
        <v>16</v>
      </c>
      <c r="C54" s="6">
        <f t="shared" si="31"/>
        <v>0.96544391281233388</v>
      </c>
      <c r="D54" s="6">
        <f t="shared" ref="D54:F54" si="46">I17-H17</f>
        <v>4.784688995215336E-3</v>
      </c>
      <c r="E54" s="6">
        <f t="shared" si="46"/>
        <v>1.3290802764486909E-2</v>
      </c>
      <c r="F54" s="6">
        <f t="shared" si="46"/>
        <v>3.1897926634768536E-3</v>
      </c>
      <c r="G54" s="6">
        <f t="shared" si="33"/>
        <v>1.329080276448702E-2</v>
      </c>
      <c r="H54" s="6">
        <f t="shared" si="34"/>
        <v>0.96438064859117489</v>
      </c>
    </row>
  </sheetData>
  <mergeCells count="4">
    <mergeCell ref="H2:K2"/>
    <mergeCell ref="F2:G2"/>
    <mergeCell ref="C2:E2"/>
    <mergeCell ref="M2:P2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tabSelected="1" workbookViewId="0">
      <selection activeCell="M23" sqref="M23"/>
    </sheetView>
  </sheetViews>
  <sheetFormatPr baseColWidth="10" defaultColWidth="8.83203125" defaultRowHeight="12" x14ac:dyDescent="0"/>
  <cols>
    <col min="1" max="1" width="13.33203125" bestFit="1" customWidth="1"/>
    <col min="3" max="3" width="14" customWidth="1"/>
  </cols>
  <sheetData>
    <row r="1" spans="1:10" s="1" customFormat="1" ht="36">
      <c r="A1" s="25" t="s">
        <v>60</v>
      </c>
      <c r="B1" s="25" t="s">
        <v>0</v>
      </c>
      <c r="C1" s="25" t="s">
        <v>1</v>
      </c>
      <c r="D1" s="25" t="s">
        <v>18</v>
      </c>
      <c r="E1" s="25" t="s">
        <v>59</v>
      </c>
      <c r="F1" s="25" t="s">
        <v>17</v>
      </c>
      <c r="G1" s="25" t="s">
        <v>22</v>
      </c>
      <c r="H1" s="25" t="s">
        <v>23</v>
      </c>
      <c r="I1" s="25" t="s">
        <v>24</v>
      </c>
      <c r="J1" s="25" t="s">
        <v>25</v>
      </c>
    </row>
    <row r="2" spans="1:10">
      <c r="A2" s="23" t="s">
        <v>61</v>
      </c>
      <c r="B2" s="23" t="s">
        <v>45</v>
      </c>
      <c r="C2" s="23">
        <v>200</v>
      </c>
      <c r="D2" s="23">
        <v>6</v>
      </c>
      <c r="E2" s="23">
        <f>C2-D2</f>
        <v>194</v>
      </c>
      <c r="F2" s="24">
        <v>0.97</v>
      </c>
      <c r="G2" s="24">
        <v>0.95</v>
      </c>
      <c r="H2" s="24">
        <v>0.96499999999999997</v>
      </c>
      <c r="I2" s="24">
        <v>1</v>
      </c>
      <c r="J2" s="24">
        <v>1</v>
      </c>
    </row>
    <row r="3" spans="1:10">
      <c r="A3" s="23" t="s">
        <v>62</v>
      </c>
      <c r="B3" s="23" t="s">
        <v>46</v>
      </c>
      <c r="C3" s="23">
        <v>482</v>
      </c>
      <c r="D3" s="23">
        <v>11</v>
      </c>
      <c r="E3" s="23">
        <f t="shared" ref="E3:E15" si="0">C3-D3</f>
        <v>471</v>
      </c>
      <c r="F3" s="24">
        <v>0.97717842323651449</v>
      </c>
      <c r="G3" s="24">
        <v>0.94813278008298751</v>
      </c>
      <c r="H3" s="24">
        <v>0.95850622406639008</v>
      </c>
      <c r="I3" s="24">
        <v>0.98755186721991706</v>
      </c>
      <c r="J3" s="24">
        <v>0.99377593360995853</v>
      </c>
    </row>
    <row r="4" spans="1:10">
      <c r="A4" s="23" t="s">
        <v>63</v>
      </c>
      <c r="B4" s="23" t="s">
        <v>47</v>
      </c>
      <c r="C4" s="23">
        <v>582</v>
      </c>
      <c r="D4" s="23">
        <v>14</v>
      </c>
      <c r="E4" s="23">
        <f t="shared" si="0"/>
        <v>568</v>
      </c>
      <c r="F4" s="24">
        <v>0.97594501718213056</v>
      </c>
      <c r="G4" s="24">
        <v>0.95360824742268047</v>
      </c>
      <c r="H4" s="24">
        <v>0.96219931271477666</v>
      </c>
      <c r="I4" s="24">
        <v>0.98797250859106533</v>
      </c>
      <c r="J4" s="24">
        <v>0.99312714776632305</v>
      </c>
    </row>
    <row r="5" spans="1:10">
      <c r="A5" s="23" t="s">
        <v>64</v>
      </c>
      <c r="B5" s="23" t="s">
        <v>48</v>
      </c>
      <c r="C5" s="23">
        <v>678</v>
      </c>
      <c r="D5" s="23">
        <v>18</v>
      </c>
      <c r="E5" s="23">
        <f t="shared" si="0"/>
        <v>660</v>
      </c>
      <c r="F5" s="24">
        <v>0.97345132743362828</v>
      </c>
      <c r="G5" s="24">
        <v>0.95132743362831862</v>
      </c>
      <c r="H5" s="24">
        <v>0.96017699115044253</v>
      </c>
      <c r="I5" s="24">
        <v>0.98377581120943958</v>
      </c>
      <c r="J5" s="24">
        <v>0.98967551622418881</v>
      </c>
    </row>
    <row r="6" spans="1:10">
      <c r="A6" s="23" t="s">
        <v>65</v>
      </c>
      <c r="B6" s="23" t="s">
        <v>49</v>
      </c>
      <c r="C6" s="23">
        <v>787</v>
      </c>
      <c r="D6" s="23">
        <v>28</v>
      </c>
      <c r="E6" s="23">
        <f t="shared" si="0"/>
        <v>759</v>
      </c>
      <c r="F6" s="24">
        <v>0.96442185514612455</v>
      </c>
      <c r="G6" s="24">
        <v>0.95679796696315123</v>
      </c>
      <c r="H6" s="24">
        <v>0.96315120711562896</v>
      </c>
      <c r="I6" s="24">
        <v>0.98475222363405335</v>
      </c>
      <c r="J6" s="24">
        <v>0.9898348157560356</v>
      </c>
    </row>
    <row r="7" spans="1:10">
      <c r="A7" s="23" t="s">
        <v>66</v>
      </c>
      <c r="B7" s="23" t="s">
        <v>50</v>
      </c>
      <c r="C7" s="23">
        <v>835</v>
      </c>
      <c r="D7" s="23">
        <v>22</v>
      </c>
      <c r="E7" s="23">
        <f t="shared" si="0"/>
        <v>813</v>
      </c>
      <c r="F7" s="24">
        <v>0.97365269461077841</v>
      </c>
      <c r="G7" s="24">
        <v>0.96047904191616762</v>
      </c>
      <c r="H7" s="24">
        <v>0.96766467065868267</v>
      </c>
      <c r="I7" s="24">
        <v>0.98682634730538921</v>
      </c>
      <c r="J7" s="24">
        <v>0.99161676646706587</v>
      </c>
    </row>
    <row r="8" spans="1:10">
      <c r="A8" s="23" t="s">
        <v>67</v>
      </c>
      <c r="B8" s="23" t="s">
        <v>51</v>
      </c>
      <c r="C8" s="23">
        <v>890</v>
      </c>
      <c r="D8" s="23">
        <v>22</v>
      </c>
      <c r="E8" s="23">
        <f t="shared" si="0"/>
        <v>868</v>
      </c>
      <c r="F8" s="24">
        <v>0.97528089887640446</v>
      </c>
      <c r="G8" s="24">
        <v>0.9550561797752809</v>
      </c>
      <c r="H8" s="24">
        <v>0.96179775280898872</v>
      </c>
      <c r="I8" s="24">
        <v>0.9831460674157303</v>
      </c>
      <c r="J8" s="24">
        <v>0.98764044943820228</v>
      </c>
    </row>
    <row r="9" spans="1:10">
      <c r="A9" s="23" t="s">
        <v>68</v>
      </c>
      <c r="B9" s="23" t="s">
        <v>52</v>
      </c>
      <c r="C9" s="23">
        <v>976</v>
      </c>
      <c r="D9" s="23">
        <v>24</v>
      </c>
      <c r="E9" s="23">
        <f t="shared" si="0"/>
        <v>952</v>
      </c>
      <c r="F9" s="24">
        <v>0.97540983606557374</v>
      </c>
      <c r="G9" s="24">
        <v>0.9651639344262295</v>
      </c>
      <c r="H9" s="24">
        <v>0.97131147540983609</v>
      </c>
      <c r="I9" s="24">
        <v>0.98872950819672134</v>
      </c>
      <c r="J9" s="24">
        <v>0.99180327868852458</v>
      </c>
    </row>
    <row r="10" spans="1:10">
      <c r="A10" s="23" t="s">
        <v>69</v>
      </c>
      <c r="B10" s="23" t="s">
        <v>53</v>
      </c>
      <c r="C10" s="23">
        <v>1056</v>
      </c>
      <c r="D10" s="23">
        <v>26</v>
      </c>
      <c r="E10" s="23">
        <f t="shared" si="0"/>
        <v>1030</v>
      </c>
      <c r="F10" s="24">
        <v>0.97537878787878785</v>
      </c>
      <c r="G10" s="24">
        <v>0.96306818181818177</v>
      </c>
      <c r="H10" s="24">
        <v>0.96875</v>
      </c>
      <c r="I10" s="24">
        <v>0.9867424242424242</v>
      </c>
      <c r="J10" s="24">
        <v>0.99053030303030298</v>
      </c>
    </row>
    <row r="11" spans="1:10">
      <c r="A11" s="23" t="s">
        <v>70</v>
      </c>
      <c r="B11" s="23" t="s">
        <v>54</v>
      </c>
      <c r="C11" s="23">
        <v>1107</v>
      </c>
      <c r="D11" s="23">
        <v>17</v>
      </c>
      <c r="E11" s="23">
        <f t="shared" si="0"/>
        <v>1090</v>
      </c>
      <c r="F11" s="24">
        <v>0.98464317976513094</v>
      </c>
      <c r="G11" s="24">
        <v>0.964769647696477</v>
      </c>
      <c r="H11" s="24">
        <v>0.97018970189701892</v>
      </c>
      <c r="I11" s="24">
        <v>0.98735320686540196</v>
      </c>
      <c r="J11" s="24">
        <v>0.99096657633243002</v>
      </c>
    </row>
    <row r="12" spans="1:10">
      <c r="A12" s="23" t="s">
        <v>71</v>
      </c>
      <c r="B12" s="23" t="s">
        <v>55</v>
      </c>
      <c r="C12" s="23">
        <v>1146</v>
      </c>
      <c r="D12" s="23">
        <v>31</v>
      </c>
      <c r="E12" s="23">
        <f t="shared" si="0"/>
        <v>1115</v>
      </c>
      <c r="F12" s="24">
        <v>0.97294938917975571</v>
      </c>
      <c r="G12" s="24">
        <v>0.95811518324607325</v>
      </c>
      <c r="H12" s="24">
        <v>0.96422338568935428</v>
      </c>
      <c r="I12" s="24">
        <v>0.98254799301919715</v>
      </c>
      <c r="J12" s="24">
        <v>0.98691099476439792</v>
      </c>
    </row>
    <row r="13" spans="1:10">
      <c r="A13" s="23" t="s">
        <v>72</v>
      </c>
      <c r="B13" s="23" t="s">
        <v>56</v>
      </c>
      <c r="C13" s="23">
        <v>1204</v>
      </c>
      <c r="D13" s="23">
        <v>41</v>
      </c>
      <c r="E13" s="23">
        <f t="shared" si="0"/>
        <v>1163</v>
      </c>
      <c r="F13" s="24">
        <v>0.96594684385382057</v>
      </c>
      <c r="G13" s="24">
        <v>0.95598006644518274</v>
      </c>
      <c r="H13" s="24">
        <v>0.96262458471760792</v>
      </c>
      <c r="I13" s="24">
        <v>0.98089700996677742</v>
      </c>
      <c r="J13" s="24">
        <v>0.98588039867109634</v>
      </c>
    </row>
    <row r="14" spans="1:10">
      <c r="A14" s="23" t="s">
        <v>73</v>
      </c>
      <c r="B14" s="23" t="s">
        <v>57</v>
      </c>
      <c r="C14" s="23">
        <v>1481</v>
      </c>
      <c r="D14" s="23">
        <v>36</v>
      </c>
      <c r="E14" s="23">
        <f t="shared" si="0"/>
        <v>1445</v>
      </c>
      <c r="F14" s="24">
        <v>0.97569209993247807</v>
      </c>
      <c r="G14" s="24">
        <v>0.95340985820391633</v>
      </c>
      <c r="H14" s="24">
        <v>0.95881161377447666</v>
      </c>
      <c r="I14" s="24">
        <v>0.97704253882511816</v>
      </c>
      <c r="J14" s="24">
        <v>0.98109385550303851</v>
      </c>
    </row>
    <row r="15" spans="1:10">
      <c r="A15" s="23" t="s">
        <v>74</v>
      </c>
      <c r="B15" s="23" t="s">
        <v>58</v>
      </c>
      <c r="C15" s="23">
        <v>1881</v>
      </c>
      <c r="D15" s="23">
        <v>67</v>
      </c>
      <c r="E15" s="23">
        <f t="shared" si="0"/>
        <v>1814</v>
      </c>
      <c r="F15" s="24">
        <v>0.96438064859117489</v>
      </c>
      <c r="G15" s="24">
        <v>0.96544391281233388</v>
      </c>
      <c r="H15" s="24">
        <v>0.97022860180754922</v>
      </c>
      <c r="I15" s="24">
        <v>0.98351940457203613</v>
      </c>
      <c r="J15" s="24">
        <v>0.98670919723551298</v>
      </c>
    </row>
    <row r="17" spans="1:1">
      <c r="A17" s="29" t="s">
        <v>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4</vt:i4>
      </vt:variant>
    </vt:vector>
  </HeadingPairs>
  <TitlesOfParts>
    <vt:vector size="6" baseType="lpstr">
      <vt:lpstr>Data</vt:lpstr>
      <vt:lpstr>Data For Mike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Tim Rakow</cp:lastModifiedBy>
  <dcterms:created xsi:type="dcterms:W3CDTF">2013-05-07T10:24:22Z</dcterms:created>
  <dcterms:modified xsi:type="dcterms:W3CDTF">2015-10-30T09:54:06Z</dcterms:modified>
</cp:coreProperties>
</file>