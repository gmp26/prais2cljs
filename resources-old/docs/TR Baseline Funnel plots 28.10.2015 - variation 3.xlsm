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1080" yWindow="88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15" i="22"/>
  <c r="E2" i="22"/>
  <c r="E13" i="2"/>
  <c r="G13" i="2"/>
  <c r="I13" i="2"/>
  <c r="J13" i="2"/>
  <c r="R13" i="2"/>
  <c r="E16" i="2"/>
  <c r="G16" i="2"/>
  <c r="I16" i="2"/>
  <c r="J16" i="2"/>
  <c r="R16" i="2"/>
  <c r="E4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E9" i="2"/>
  <c r="G9" i="2"/>
  <c r="I9" i="2"/>
  <c r="J9" i="2"/>
  <c r="R9" i="2"/>
  <c r="E10" i="2"/>
  <c r="G10" i="2"/>
  <c r="I10" i="2"/>
  <c r="J10" i="2"/>
  <c r="R10" i="2"/>
  <c r="E11" i="2"/>
  <c r="G11" i="2"/>
  <c r="I11" i="2"/>
  <c r="J11" i="2"/>
  <c r="R11" i="2"/>
  <c r="E12" i="2"/>
  <c r="G12" i="2"/>
  <c r="I12" i="2"/>
  <c r="J12" i="2"/>
  <c r="R12" i="2"/>
  <c r="E14" i="2"/>
  <c r="G14" i="2"/>
  <c r="I14" i="2"/>
  <c r="J14" i="2"/>
  <c r="R14" i="2"/>
  <c r="E15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L9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L15" i="2"/>
  <c r="N15" i="2"/>
  <c r="O15" i="2"/>
  <c r="L10" i="2"/>
  <c r="N10" i="2"/>
  <c r="O10" i="2"/>
  <c r="T10" i="2"/>
  <c r="L11" i="2"/>
  <c r="N11" i="2"/>
  <c r="O11" i="2"/>
  <c r="T11" i="2"/>
  <c r="L12" i="2"/>
  <c r="N12" i="2"/>
  <c r="O12" i="2"/>
  <c r="T12" i="2"/>
  <c r="L13" i="2"/>
  <c r="N13" i="2"/>
  <c r="O13" i="2"/>
  <c r="T13" i="2"/>
  <c r="L14" i="2"/>
  <c r="N14" i="2"/>
  <c r="O14" i="2"/>
  <c r="T14" i="2"/>
  <c r="T15" i="2"/>
  <c r="L4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<sst xmlns="http://schemas.openxmlformats.org/spreadsheetml/2006/main" count="114" uniqueCount="76">
  <si>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</si>
  <si>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</si>
  <si>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</si>
  <si>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</si>
  <si>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</si>
  <si>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</si>
  <si>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</si>
  <si>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</si>
  <si>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</si>
  <si>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</si>
  <si>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</si>
  <si>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</si>
  <si>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</si>
  <si>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</si>
  <si>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</si>
  <si>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</si>
  <si>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</si>
  <si>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</si>
  <si>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</si>
  <si>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</si>
  <si>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</si>
  <si>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</si>
  <si>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</si>
  <si>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</si>
  <si>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</si>
  <si>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</si>
  <si>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</si>
  <si>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</si>
  <si>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</si>
  <si>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</si>
  <si>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</si>
  <si>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</si>
  <si>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</si>
  <si>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</si>
  <si>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</si>
  <si>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</si>
  <si>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</si>
  <si>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</si>
  <si>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</si>
  <si>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</si>
  <si>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</si>
  <si>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</si>
  <si>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</si>
  <si>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</si>
  <si>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</si>
  <si>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</si>
  <si>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</si>
  <si>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</si>
  <si>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</si>
  <si>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</si>
  <si>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</si>
  <si>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</si>
  <si>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</si>
  <si>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</si>
  <si>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</si>
  <si>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</si>
  <si>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</si>
  <si>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</si>
  <si>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</si>
  <si>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Hospital Name</t>
  </si>
  <si>
    <t>Total actual survival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</si>
  <si>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</si>
  <si>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</si>
  <si>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</si>
  <si>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</si>
  <si>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</si>
  <si>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</si>
  <si>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</si>
  <si>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</si>
  <si>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</si>
  <si>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</si>
  <si>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</si>
  <si>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</si>
  <si>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</si>
  <si>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</si>
  <si>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DATA SET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</si>
</sst>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0" fontId="6" fillId="0" borderId="1" xfId="0" applyFont="1" applyFill="1" applyBorder="1"/>
    <xf numFmtId="0" fontId="7" fillId="0" borderId="1" xfId="0" applyFont="1" applyFill="1" applyBorder="1"/>
    <xf numFmtId="0" fontId="6" fillId="0" borderId="1" xfId="0" applyFont="1" applyFill="1" applyBorder="1" applyAlignment="1">
      <alignment wrapText="1"/>
    </xf>
    <xf numFmtId="164" fontId="7" fillId="0" borderId="1" xfId="1" applyNumberFormat="1" applyFont="1" applyFill="1" applyBorder="1"/>
    <xf numFmtId="164" fontId="7" fillId="0" borderId="1" xfId="0" applyNumberFormat="1" applyFont="1" applyFill="1" applyBorder="1"/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3720888"/>
        <c:axId val="214369666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0.990063233965673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192264"/>
        <c:axId val="2140195224"/>
      </c:scatterChart>
      <c:catAx>
        <c:axId val="21437208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696664"/>
        <c:crosses val="autoZero"/>
        <c:auto val="1"/>
        <c:lblAlgn val="ctr"/>
        <c:lblOffset val="100"/>
        <c:noMultiLvlLbl val="0"/>
      </c:catAx>
      <c:valAx>
        <c:axId val="2143696664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3720888"/>
        <c:crosses val="autoZero"/>
        <c:crossBetween val="between"/>
        <c:majorUnit val="0.01"/>
        <c:minorUnit val="0.005"/>
      </c:valAx>
      <c:valAx>
        <c:axId val="2140195224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0192264"/>
        <c:crosses val="max"/>
        <c:crossBetween val="midCat"/>
      </c:valAx>
      <c:valAx>
        <c:axId val="2140192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01952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4133832"/>
        <c:axId val="214413898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0.996512207274539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0.989182848950867</c:v>
                </c:pt>
                <c:pt idx="5">
                  <c:v>0.995591476855253</c:v>
                </c:pt>
                <c:pt idx="6">
                  <c:v>1.002309468822171</c:v>
                </c:pt>
                <c:pt idx="7">
                  <c:v>0.995295347621537</c:v>
                </c:pt>
                <c:pt idx="8">
                  <c:v>0.997288923315259</c:v>
                </c:pt>
                <c:pt idx="9">
                  <c:v>1.011256689426093</c:v>
                </c:pt>
                <c:pt idx="10">
                  <c:v>0.998924923848773</c:v>
                </c:pt>
                <c:pt idx="11">
                  <c:v>0.993762283175254</c:v>
                </c:pt>
                <c:pt idx="12">
                  <c:v>1.007670850767085</c:v>
                </c:pt>
                <c:pt idx="13">
                  <c:v>1.0028840398324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47944"/>
        <c:axId val="2144144600"/>
      </c:scatterChart>
      <c:catAx>
        <c:axId val="2144133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4138984"/>
        <c:crosses val="autoZero"/>
        <c:auto val="1"/>
        <c:lblAlgn val="ctr"/>
        <c:lblOffset val="100"/>
        <c:noMultiLvlLbl val="0"/>
      </c:catAx>
      <c:valAx>
        <c:axId val="2144138984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4133832"/>
        <c:crosses val="autoZero"/>
        <c:crossBetween val="between"/>
      </c:valAx>
      <c:valAx>
        <c:axId val="2144144600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4147944"/>
        <c:crosses val="max"/>
        <c:crossBetween val="midCat"/>
      </c:valAx>
      <c:valAx>
        <c:axId val="214414794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4144600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4206648"/>
        <c:axId val="2144211800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0.990063233965673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220744"/>
        <c:axId val="2144217432"/>
      </c:scatterChart>
      <c:catAx>
        <c:axId val="21442066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4211800"/>
        <c:crosses val="autoZero"/>
        <c:auto val="1"/>
        <c:lblAlgn val="ctr"/>
        <c:lblOffset val="100"/>
        <c:noMultiLvlLbl val="0"/>
      </c:catAx>
      <c:valAx>
        <c:axId val="2144211800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4206648"/>
        <c:crosses val="autoZero"/>
        <c:crossBetween val="between"/>
        <c:majorUnit val="0.01"/>
        <c:minorUnit val="0.005"/>
      </c:valAx>
      <c:valAx>
        <c:axId val="2144217432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4220744"/>
        <c:crosses val="max"/>
        <c:crossBetween val="midCat"/>
      </c:valAx>
      <c:valAx>
        <c:axId val="214422074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42174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4277688"/>
        <c:axId val="2144282776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0.990063233965673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291704"/>
        <c:axId val="2144288408"/>
      </c:scatterChart>
      <c:catAx>
        <c:axId val="2144277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4282776"/>
        <c:crosses val="autoZero"/>
        <c:auto val="1"/>
        <c:lblAlgn val="ctr"/>
        <c:lblOffset val="100"/>
        <c:noMultiLvlLbl val="0"/>
      </c:catAx>
      <c:valAx>
        <c:axId val="2144282776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4277688"/>
        <c:crosses val="autoZero"/>
        <c:crossBetween val="between"/>
        <c:majorUnit val="0.1"/>
        <c:minorUnit val="0.05"/>
      </c:valAx>
      <c:valAx>
        <c:axId val="2144288408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4291704"/>
        <c:crosses val="max"/>
        <c:crossBetween val="midCat"/>
      </c:valAx>
      <c:valAx>
        <c:axId val="2144291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4288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topLeftCell="E1" zoomScale="90" zoomScaleNormal="90" zoomScalePageLayoutView="90" workbookViewId="0">
      <pane xSplit="14360" topLeftCell="P1"/>
      <selection activeCell="B2" sqref="B2:P17"/>
      <selection pane="topRight" activeCell="AC30" sqref="AC30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30" t="s">
        <v>19</v>
      </c>
      <c r="D2" s="30"/>
      <c r="E2" s="30"/>
      <c r="F2" s="29" t="s">
        <v>20</v>
      </c>
      <c r="G2" s="29"/>
      <c r="H2" s="28" t="s">
        <v>31</v>
      </c>
      <c r="I2" s="28"/>
      <c r="J2" s="28"/>
      <c r="K2" s="28"/>
      <c r="L2" s="9"/>
      <c r="M2" s="28" t="s">
        <v>36</v>
      </c>
      <c r="N2" s="28"/>
      <c r="O2" s="28"/>
      <c r="P2" s="28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4</v>
      </c>
      <c r="E4" s="13">
        <f t="shared" ref="E4:E17" si="0">1-D4/C4</f>
        <v>0.98039215686274506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0.99651220727453904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42.857142857142719</v>
      </c>
      <c r="S4">
        <f>RANK(R4,R$4:R$17,1)</f>
        <v>6</v>
      </c>
      <c r="T4" s="16">
        <f>100*(L4-N4)/(O4-N4)</f>
        <v>42.857142857142811</v>
      </c>
      <c r="U4" s="17">
        <f>100*(2*S4-1)/28</f>
        <v>39.285714285714285</v>
      </c>
      <c r="V4">
        <f>S4</f>
        <v>6</v>
      </c>
      <c r="W4" s="21">
        <f>100*(Y4-(-1.96))/3.92</f>
        <v>43.064285576549466</v>
      </c>
      <c r="X4" s="17">
        <f>100*(2*V4-1)/28</f>
        <v>39.285714285714285</v>
      </c>
      <c r="Y4" s="15">
        <f>_xlfn.NORM.INV(X4/100,0,1)</f>
        <v>-0.27188000539926088</v>
      </c>
      <c r="AA4" s="16">
        <f>R4-W4</f>
        <v>-0.20714271940674678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11</v>
      </c>
      <c r="T5" s="16">
        <f t="shared" ref="T5:T17" si="13">100*(L5-N5)/(O5-N5)</f>
        <v>64.28571428571405</v>
      </c>
      <c r="U5" s="17">
        <f t="shared" ref="U5:U17" si="14">100*(2*S5-1)/28</f>
        <v>75</v>
      </c>
      <c r="V5">
        <f t="shared" ref="V5:V17" si="15">S5</f>
        <v>11</v>
      </c>
      <c r="W5" s="21">
        <f t="shared" ref="W5:W17" si="16">100*(Y5-(-1.96))/3.92</f>
        <v>67.206371178471485</v>
      </c>
      <c r="X5" s="17">
        <f t="shared" ref="X5:X17" si="17">100*(2*V5-1)/28</f>
        <v>75</v>
      </c>
      <c r="Y5" s="15">
        <f t="shared" ref="Y5:Y17" si="18">_xlfn.NORM.INV(X5/100,0,1)</f>
        <v>0.67448975019608193</v>
      </c>
      <c r="AA5" s="16">
        <f t="shared" ref="AA5:AA17" si="19">R5-W5</f>
        <v>-2.9206568927574494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8</v>
      </c>
      <c r="T6" s="16">
        <f t="shared" si="13"/>
        <v>53.333333333332995</v>
      </c>
      <c r="U6" s="17">
        <f t="shared" si="14"/>
        <v>53.571428571428569</v>
      </c>
      <c r="V6">
        <f t="shared" si="15"/>
        <v>8</v>
      </c>
      <c r="W6" s="21">
        <f t="shared" si="16"/>
        <v>52.286794670300068</v>
      </c>
      <c r="X6" s="17">
        <f t="shared" si="17"/>
        <v>53.571428571428569</v>
      </c>
      <c r="Y6" s="15">
        <f t="shared" si="18"/>
        <v>8.9642351075762544E-2</v>
      </c>
      <c r="AA6" s="16">
        <f t="shared" si="19"/>
        <v>1.0465386630330329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9</v>
      </c>
      <c r="T7" s="16">
        <f t="shared" si="13"/>
        <v>56.249999999999858</v>
      </c>
      <c r="U7" s="17">
        <f t="shared" si="14"/>
        <v>60.714285714285715</v>
      </c>
      <c r="V7">
        <f t="shared" si="15"/>
        <v>9</v>
      </c>
      <c r="W7" s="21">
        <f t="shared" si="16"/>
        <v>56.935714423450534</v>
      </c>
      <c r="X7" s="17">
        <f t="shared" si="17"/>
        <v>60.714285714285715</v>
      </c>
      <c r="Y7" s="15">
        <f t="shared" si="18"/>
        <v>0.27188000539926105</v>
      </c>
      <c r="AA7" s="16">
        <f t="shared" si="19"/>
        <v>-0.68571442345091782</v>
      </c>
    </row>
    <row r="8" spans="2:27">
      <c r="B8" s="11" t="s">
        <v>49</v>
      </c>
      <c r="C8" s="11">
        <v>787</v>
      </c>
      <c r="D8" s="22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5.8823529411766522</v>
      </c>
      <c r="S8">
        <f t="shared" si="12"/>
        <v>1</v>
      </c>
      <c r="T8" s="16">
        <f t="shared" si="13"/>
        <v>5.8823529411768245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1.8706970926866058</v>
      </c>
    </row>
    <row r="9" spans="2:27">
      <c r="B9" s="11" t="s">
        <v>50</v>
      </c>
      <c r="C9" s="11">
        <v>835</v>
      </c>
      <c r="D9" s="22">
        <v>22</v>
      </c>
      <c r="E9" s="13">
        <f t="shared" si="0"/>
        <v>0.97365269461077841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0.99559147685525351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31.249999999999748</v>
      </c>
      <c r="S9">
        <f t="shared" si="12"/>
        <v>4</v>
      </c>
      <c r="T9" s="16">
        <f t="shared" si="13"/>
        <v>31.250000000000036</v>
      </c>
      <c r="U9" s="17">
        <f t="shared" si="14"/>
        <v>25</v>
      </c>
      <c r="V9">
        <f t="shared" si="15"/>
        <v>4</v>
      </c>
      <c r="W9" s="21">
        <f t="shared" si="16"/>
        <v>32.793628821528515</v>
      </c>
      <c r="X9" s="17">
        <f t="shared" si="17"/>
        <v>25</v>
      </c>
      <c r="Y9" s="15">
        <f t="shared" si="18"/>
        <v>-0.67448975019608193</v>
      </c>
      <c r="AA9" s="16">
        <f t="shared" si="19"/>
        <v>-1.5436288215287668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10</v>
      </c>
      <c r="T10" s="16">
        <f t="shared" si="13"/>
        <v>63.157894736842508</v>
      </c>
      <c r="U10" s="17">
        <f t="shared" si="14"/>
        <v>67.857142857142861</v>
      </c>
      <c r="V10">
        <f t="shared" si="15"/>
        <v>10</v>
      </c>
      <c r="W10" s="21">
        <f t="shared" si="16"/>
        <v>61.829279373907625</v>
      </c>
      <c r="X10" s="17">
        <f t="shared" si="17"/>
        <v>67.857142857142861</v>
      </c>
      <c r="Y10" s="15">
        <f t="shared" si="18"/>
        <v>0.46370775145717918</v>
      </c>
      <c r="AA10" s="16">
        <f t="shared" si="19"/>
        <v>1.3286153629345065</v>
      </c>
    </row>
    <row r="11" spans="2:27">
      <c r="B11" s="11" t="s">
        <v>52</v>
      </c>
      <c r="C11" s="11">
        <v>976</v>
      </c>
      <c r="D11" s="22">
        <v>24</v>
      </c>
      <c r="E11" s="13">
        <f t="shared" si="0"/>
        <v>0.97540983606557374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0.99529534762153682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23.529411764705582</v>
      </c>
      <c r="S11">
        <f t="shared" si="12"/>
        <v>3</v>
      </c>
      <c r="T11" s="16">
        <f t="shared" si="13"/>
        <v>23.529411764705369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-2.9802061850806609</v>
      </c>
    </row>
    <row r="12" spans="2:27">
      <c r="B12" s="11" t="s">
        <v>53</v>
      </c>
      <c r="C12" s="11">
        <v>1056</v>
      </c>
      <c r="D12" s="22">
        <v>26</v>
      </c>
      <c r="E12" s="13">
        <f t="shared" si="0"/>
        <v>0.97537878787878785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0.99728892331525942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36.842105263157798</v>
      </c>
      <c r="S12">
        <f t="shared" si="12"/>
        <v>5</v>
      </c>
      <c r="T12" s="16">
        <f t="shared" si="13"/>
        <v>36.84210526315767</v>
      </c>
      <c r="U12" s="17">
        <f t="shared" si="14"/>
        <v>32.142857142857146</v>
      </c>
      <c r="V12">
        <f t="shared" si="15"/>
        <v>5</v>
      </c>
      <c r="W12" s="21">
        <f t="shared" si="16"/>
        <v>38.170720626092368</v>
      </c>
      <c r="X12" s="17">
        <f t="shared" si="17"/>
        <v>32.142857142857146</v>
      </c>
      <c r="Y12" s="15">
        <f t="shared" si="18"/>
        <v>-0.46370775145717902</v>
      </c>
      <c r="AA12" s="16">
        <f t="shared" si="19"/>
        <v>-1.3286153629345705</v>
      </c>
    </row>
    <row r="13" spans="2:27">
      <c r="B13" s="11" t="s">
        <v>54</v>
      </c>
      <c r="C13" s="11">
        <v>1107</v>
      </c>
      <c r="D13" s="22">
        <v>11</v>
      </c>
      <c r="E13" s="13">
        <f t="shared" si="0"/>
        <v>0.99006323396567297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1.0112566894260933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115.78947368421059</v>
      </c>
      <c r="S13">
        <f t="shared" si="12"/>
        <v>14</v>
      </c>
      <c r="T13" s="16">
        <f t="shared" si="13"/>
        <v>115.78947368421083</v>
      </c>
      <c r="U13" s="17">
        <f t="shared" si="14"/>
        <v>96.428571428571431</v>
      </c>
      <c r="V13">
        <f t="shared" si="15"/>
        <v>14</v>
      </c>
      <c r="W13" s="21">
        <f t="shared" si="16"/>
        <v>95.988344151509978</v>
      </c>
      <c r="X13" s="17">
        <f t="shared" si="17"/>
        <v>96.428571428571431</v>
      </c>
      <c r="Y13" s="15">
        <f t="shared" si="18"/>
        <v>1.8027430907391906</v>
      </c>
      <c r="AA13" s="16">
        <f t="shared" si="19"/>
        <v>19.801129532700614</v>
      </c>
    </row>
    <row r="14" spans="2:27">
      <c r="B14" s="11" t="s">
        <v>55</v>
      </c>
      <c r="C14" s="11">
        <v>1146</v>
      </c>
      <c r="D14" s="22">
        <v>31</v>
      </c>
      <c r="E14" s="13">
        <f t="shared" si="0"/>
        <v>0.97294938917975571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0.99892492384877263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47.619047619047933</v>
      </c>
      <c r="S14">
        <f t="shared" si="12"/>
        <v>7</v>
      </c>
      <c r="T14" s="16">
        <f t="shared" si="13"/>
        <v>47.619047619047791</v>
      </c>
      <c r="U14" s="17">
        <f t="shared" si="14"/>
        <v>46.428571428571431</v>
      </c>
      <c r="V14">
        <f t="shared" si="15"/>
        <v>7</v>
      </c>
      <c r="W14" s="21">
        <f t="shared" si="16"/>
        <v>47.713205329699932</v>
      </c>
      <c r="X14" s="17">
        <f t="shared" si="17"/>
        <v>46.428571428571431</v>
      </c>
      <c r="Y14" s="15">
        <f t="shared" si="18"/>
        <v>-8.9642351075762544E-2</v>
      </c>
      <c r="AA14" s="16">
        <f t="shared" si="19"/>
        <v>-9.4157710651998627E-2</v>
      </c>
    </row>
    <row r="15" spans="2:27">
      <c r="B15" s="11" t="s">
        <v>56</v>
      </c>
      <c r="C15" s="11">
        <v>1204</v>
      </c>
      <c r="D15" s="22">
        <v>41</v>
      </c>
      <c r="E15" s="13">
        <f t="shared" si="0"/>
        <v>0.96594684385382057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0.99376228317525428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18.181818181818237</v>
      </c>
      <c r="S15">
        <f t="shared" si="12"/>
        <v>2</v>
      </c>
      <c r="T15" s="16">
        <f t="shared" si="13"/>
        <v>18.18181818181861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-0.13790651605622983</v>
      </c>
    </row>
    <row r="16" spans="2:27">
      <c r="B16" s="11" t="s">
        <v>57</v>
      </c>
      <c r="C16" s="11">
        <v>1481</v>
      </c>
      <c r="D16" s="22">
        <v>36</v>
      </c>
      <c r="E16" s="13">
        <f t="shared" si="0"/>
        <v>0.97569209993247807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1.0076708507670851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92.592592592592752</v>
      </c>
      <c r="S16">
        <f t="shared" si="12"/>
        <v>13</v>
      </c>
      <c r="T16" s="16">
        <f t="shared" si="13"/>
        <v>92.592592592592325</v>
      </c>
      <c r="U16" s="17">
        <f t="shared" si="14"/>
        <v>89.285714285714292</v>
      </c>
      <c r="V16">
        <f t="shared" si="15"/>
        <v>13</v>
      </c>
      <c r="W16" s="21">
        <f t="shared" si="16"/>
        <v>81.680275302125523</v>
      </c>
      <c r="X16" s="17">
        <f t="shared" si="17"/>
        <v>89.285714285714292</v>
      </c>
      <c r="Y16" s="15">
        <f t="shared" si="18"/>
        <v>1.2418667918433208</v>
      </c>
      <c r="AA16" s="16">
        <f t="shared" si="19"/>
        <v>10.912317290467229</v>
      </c>
    </row>
    <row r="17" spans="2:27">
      <c r="B17" s="11" t="s">
        <v>58</v>
      </c>
      <c r="C17" s="11">
        <v>1881</v>
      </c>
      <c r="D17" s="22">
        <v>38</v>
      </c>
      <c r="E17" s="13">
        <f t="shared" si="0"/>
        <v>0.97979797979797978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1.002884039832399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71.999999999999901</v>
      </c>
      <c r="S17">
        <f t="shared" si="12"/>
        <v>12</v>
      </c>
      <c r="T17" s="16">
        <f t="shared" si="13"/>
        <v>71.999999999999929</v>
      </c>
      <c r="U17" s="17">
        <f t="shared" si="14"/>
        <v>82.142857142857139</v>
      </c>
      <c r="V17">
        <f t="shared" si="15"/>
        <v>12</v>
      </c>
      <c r="W17" s="21">
        <f t="shared" si="16"/>
        <v>73.490382050213768</v>
      </c>
      <c r="X17" s="17">
        <f t="shared" si="17"/>
        <v>82.142857142857139</v>
      </c>
      <c r="Y17" s="15">
        <f t="shared" si="18"/>
        <v>0.9208229763683794</v>
      </c>
      <c r="AA17" s="16">
        <f t="shared" si="19"/>
        <v>-1.4903820502138672</v>
      </c>
    </row>
    <row r="19" spans="2:27">
      <c r="AA19" s="16">
        <f>SUM(AA4:AA17)</f>
        <v>23.570887259740779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0.99651220727453904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0.98918284895086672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0.99559147685525351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0.99529534762153682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0.99728892331525942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1.0112566894260933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0.99892492384877263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0.99376228317525428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1.0076708507670851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1.002884039832399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0.98039215686274506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0.97717842323651449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0.97594501718213056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6">I7-H7</f>
        <v>8.8495575221239076E-3</v>
      </c>
      <c r="E44" s="6">
        <f t="shared" si="36"/>
        <v>2.359882005899705E-2</v>
      </c>
      <c r="F44" s="6">
        <f t="shared" si="36"/>
        <v>5.8997050147492347E-3</v>
      </c>
      <c r="G44" s="6">
        <f t="shared" si="33"/>
        <v>1.0324483775811188E-2</v>
      </c>
      <c r="H44" s="6">
        <f t="shared" si="34"/>
        <v>0.97345132743362828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7">I8-H8</f>
        <v>6.3532401524777349E-3</v>
      </c>
      <c r="E45" s="6">
        <f t="shared" si="37"/>
        <v>2.1601016518424387E-2</v>
      </c>
      <c r="F45" s="6">
        <f t="shared" si="37"/>
        <v>5.0825921219822545E-3</v>
      </c>
      <c r="G45" s="6">
        <f t="shared" si="33"/>
        <v>1.0165184243964398E-2</v>
      </c>
      <c r="H45" s="6">
        <f t="shared" si="34"/>
        <v>0.96442185514612455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38">I9-H9</f>
        <v>7.1856287425150489E-3</v>
      </c>
      <c r="E46" s="6">
        <f t="shared" si="38"/>
        <v>1.9161676646706538E-2</v>
      </c>
      <c r="F46" s="6">
        <f t="shared" si="38"/>
        <v>4.7904191616766623E-3</v>
      </c>
      <c r="G46" s="6">
        <f t="shared" si="33"/>
        <v>8.3832335329341312E-3</v>
      </c>
      <c r="H46" s="6">
        <f t="shared" si="34"/>
        <v>0.97365269461077841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39">I10-H10</f>
        <v>6.741573033707815E-3</v>
      </c>
      <c r="E47" s="6">
        <f t="shared" si="39"/>
        <v>2.1348314606741581E-2</v>
      </c>
      <c r="F47" s="6">
        <f t="shared" si="39"/>
        <v>4.4943820224719877E-3</v>
      </c>
      <c r="G47" s="6">
        <f t="shared" si="33"/>
        <v>1.2359550561797716E-2</v>
      </c>
      <c r="H47" s="6">
        <f t="shared" si="34"/>
        <v>0.97528089887640446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0">I11-H11</f>
        <v>6.147540983606592E-3</v>
      </c>
      <c r="E48" s="6">
        <f t="shared" si="40"/>
        <v>1.7418032786885251E-2</v>
      </c>
      <c r="F48" s="6">
        <f t="shared" si="40"/>
        <v>3.0737704918032405E-3</v>
      </c>
      <c r="G48" s="6">
        <f t="shared" si="33"/>
        <v>8.1967213114754189E-3</v>
      </c>
      <c r="H48" s="6">
        <f t="shared" si="34"/>
        <v>0.97540983606557374</v>
      </c>
    </row>
    <row r="49" spans="2:8">
      <c r="B49" s="2" t="s">
        <v>11</v>
      </c>
      <c r="C49" s="6">
        <f t="shared" si="31"/>
        <v>0.96306818181818177</v>
      </c>
      <c r="D49" s="6">
        <f t="shared" ref="D49:F49" si="41">I12-H12</f>
        <v>5.6818181818182323E-3</v>
      </c>
      <c r="E49" s="6">
        <f t="shared" si="41"/>
        <v>1.7992424242424199E-2</v>
      </c>
      <c r="F49" s="6">
        <f t="shared" si="41"/>
        <v>3.7878787878787845E-3</v>
      </c>
      <c r="G49" s="6">
        <f t="shared" si="33"/>
        <v>9.4696969696970168E-3</v>
      </c>
      <c r="H49" s="6">
        <f t="shared" si="34"/>
        <v>0.97537878787878785</v>
      </c>
    </row>
    <row r="50" spans="2:8">
      <c r="B50" s="2" t="s">
        <v>12</v>
      </c>
      <c r="C50" s="6">
        <f t="shared" si="31"/>
        <v>0.964769647696477</v>
      </c>
      <c r="D50" s="6">
        <f t="shared" ref="D50:F50" si="42">I13-H13</f>
        <v>5.4200542005419239E-3</v>
      </c>
      <c r="E50" s="6">
        <f t="shared" si="42"/>
        <v>1.7163504968383037E-2</v>
      </c>
      <c r="F50" s="6">
        <f t="shared" si="42"/>
        <v>3.6133694670280603E-3</v>
      </c>
      <c r="G50" s="6">
        <f t="shared" si="33"/>
        <v>9.0334236675699842E-3</v>
      </c>
      <c r="H50" s="6">
        <f t="shared" si="34"/>
        <v>0.99006323396567297</v>
      </c>
    </row>
    <row r="51" spans="2:8">
      <c r="B51" s="2" t="s">
        <v>13</v>
      </c>
      <c r="C51" s="6">
        <f t="shared" si="31"/>
        <v>0.95811518324607325</v>
      </c>
      <c r="D51" s="6">
        <f t="shared" ref="D51:F51" si="43">I14-H14</f>
        <v>6.10820244328103E-3</v>
      </c>
      <c r="E51" s="6">
        <f t="shared" si="43"/>
        <v>1.8324607329842868E-2</v>
      </c>
      <c r="F51" s="6">
        <f t="shared" si="43"/>
        <v>4.3630017452007674E-3</v>
      </c>
      <c r="G51" s="6">
        <f t="shared" si="33"/>
        <v>1.308900523560208E-2</v>
      </c>
      <c r="H51" s="6">
        <f t="shared" si="34"/>
        <v>0.97294938917975571</v>
      </c>
    </row>
    <row r="52" spans="2:8">
      <c r="B52" s="2" t="s">
        <v>14</v>
      </c>
      <c r="C52" s="6">
        <f t="shared" si="31"/>
        <v>0.95598006644518274</v>
      </c>
      <c r="D52" s="6">
        <f t="shared" ref="D52:F52" si="44">I15-H15</f>
        <v>6.6445182724251817E-3</v>
      </c>
      <c r="E52" s="6">
        <f t="shared" si="44"/>
        <v>1.8272425249169499E-2</v>
      </c>
      <c r="F52" s="6">
        <f t="shared" si="44"/>
        <v>4.983388704318914E-3</v>
      </c>
      <c r="G52" s="6">
        <f t="shared" si="33"/>
        <v>1.4119601328903664E-2</v>
      </c>
      <c r="H52" s="6">
        <f t="shared" si="34"/>
        <v>0.96594684385382057</v>
      </c>
    </row>
    <row r="53" spans="2:8">
      <c r="B53" s="2" t="s">
        <v>15</v>
      </c>
      <c r="C53" s="6">
        <f t="shared" si="31"/>
        <v>0.95340985820391633</v>
      </c>
      <c r="D53" s="6">
        <f t="shared" ref="D53:F53" si="45">I16-H16</f>
        <v>5.4017555705603293E-3</v>
      </c>
      <c r="E53" s="6">
        <f t="shared" si="45"/>
        <v>1.82309250506415E-2</v>
      </c>
      <c r="F53" s="6">
        <f t="shared" si="45"/>
        <v>4.051316677920358E-3</v>
      </c>
      <c r="G53" s="6">
        <f t="shared" si="33"/>
        <v>1.8906144496961486E-2</v>
      </c>
      <c r="H53" s="6">
        <f t="shared" si="34"/>
        <v>0.97569209993247807</v>
      </c>
    </row>
    <row r="54" spans="2:8">
      <c r="B54" s="2" t="s">
        <v>16</v>
      </c>
      <c r="C54" s="6">
        <f t="shared" si="31"/>
        <v>0.96544391281233388</v>
      </c>
      <c r="D54" s="6">
        <f t="shared" ref="D54:F54" si="46">I17-H17</f>
        <v>4.784688995215336E-3</v>
      </c>
      <c r="E54" s="6">
        <f t="shared" si="46"/>
        <v>1.3290802764486909E-2</v>
      </c>
      <c r="F54" s="6">
        <f t="shared" si="46"/>
        <v>3.1897926634768536E-3</v>
      </c>
      <c r="G54" s="6">
        <f t="shared" si="33"/>
        <v>1.329080276448702E-2</v>
      </c>
      <c r="H54" s="6">
        <f t="shared" si="34"/>
        <v>0.97979797979797978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tabSelected="1" workbookViewId="0">
      <selection activeCell="C20" sqref="C20"/>
    </sheetView>
  </sheetViews>
  <sheetFormatPr baseColWidth="10" defaultColWidth="8.83203125" defaultRowHeight="12" x14ac:dyDescent="0"/>
  <cols>
    <col min="1" max="1" width="14.33203125" bestFit="1" customWidth="1"/>
    <col min="2" max="2" width="7" bestFit="1" customWidth="1"/>
    <col min="3" max="3" width="14.1640625" customWidth="1"/>
    <col min="4" max="4" width="11.33203125" customWidth="1"/>
    <col min="5" max="6" width="11" customWidth="1"/>
    <col min="7" max="7" width="10.33203125" customWidth="1"/>
    <col min="8" max="9" width="11.6640625" bestFit="1" customWidth="1"/>
    <col min="10" max="11" width="11.83203125" bestFit="1" customWidth="1"/>
  </cols>
  <sheetData>
    <row r="1" spans="1:11" ht="36">
      <c r="A1" s="23" t="s">
        <v>59</v>
      </c>
      <c r="B1" s="25" t="s">
        <v>0</v>
      </c>
      <c r="C1" s="25" t="s">
        <v>1</v>
      </c>
      <c r="D1" s="25" t="s">
        <v>18</v>
      </c>
      <c r="E1" s="25" t="s">
        <v>60</v>
      </c>
      <c r="F1" s="25" t="s">
        <v>17</v>
      </c>
      <c r="G1" s="25" t="s">
        <v>21</v>
      </c>
      <c r="H1" s="25" t="s">
        <v>22</v>
      </c>
      <c r="I1" s="25" t="s">
        <v>23</v>
      </c>
      <c r="J1" s="25" t="s">
        <v>24</v>
      </c>
      <c r="K1" s="25" t="s">
        <v>25</v>
      </c>
    </row>
    <row r="2" spans="1:11">
      <c r="A2" s="24" t="s">
        <v>61</v>
      </c>
      <c r="B2" s="24" t="s">
        <v>45</v>
      </c>
      <c r="C2" s="24">
        <v>204</v>
      </c>
      <c r="D2" s="24">
        <v>4</v>
      </c>
      <c r="E2" s="24">
        <f>C2-D2</f>
        <v>200</v>
      </c>
      <c r="F2" s="26">
        <v>0.98039215686274506</v>
      </c>
      <c r="G2" s="26">
        <v>0.98382352941176476</v>
      </c>
      <c r="H2" s="26">
        <v>0.9509803921568627</v>
      </c>
      <c r="I2" s="26">
        <v>0.96568627450980393</v>
      </c>
      <c r="J2" s="27">
        <v>1</v>
      </c>
      <c r="K2" s="27">
        <v>1</v>
      </c>
    </row>
    <row r="3" spans="1:11">
      <c r="A3" s="24" t="s">
        <v>62</v>
      </c>
      <c r="B3" s="24" t="s">
        <v>46</v>
      </c>
      <c r="C3" s="24">
        <v>482</v>
      </c>
      <c r="D3" s="24">
        <v>11</v>
      </c>
      <c r="E3" s="24">
        <f t="shared" ref="E3:E15" si="0">C3-D3</f>
        <v>471</v>
      </c>
      <c r="F3" s="26">
        <v>0.97717842323651449</v>
      </c>
      <c r="G3" s="26">
        <v>0.97406639004149376</v>
      </c>
      <c r="H3" s="26">
        <v>0.94813278008298751</v>
      </c>
      <c r="I3" s="26">
        <v>0.95850622406639008</v>
      </c>
      <c r="J3" s="27">
        <v>0.98755186721991706</v>
      </c>
      <c r="K3" s="27">
        <v>0.99377593360995853</v>
      </c>
    </row>
    <row r="4" spans="1:11">
      <c r="A4" s="24" t="s">
        <v>63</v>
      </c>
      <c r="B4" s="24" t="s">
        <v>47</v>
      </c>
      <c r="C4" s="24">
        <v>582</v>
      </c>
      <c r="D4" s="24">
        <v>14</v>
      </c>
      <c r="E4" s="24">
        <f t="shared" si="0"/>
        <v>568</v>
      </c>
      <c r="F4" s="26">
        <v>0.97594501718213056</v>
      </c>
      <c r="G4" s="26">
        <v>0.97594501718213056</v>
      </c>
      <c r="H4" s="26">
        <v>0.95360824742268047</v>
      </c>
      <c r="I4" s="26">
        <v>0.96219931271477666</v>
      </c>
      <c r="J4" s="27">
        <v>0.98797250859106533</v>
      </c>
      <c r="K4" s="27">
        <v>0.99312714776632305</v>
      </c>
    </row>
    <row r="5" spans="1:11">
      <c r="A5" s="24" t="s">
        <v>64</v>
      </c>
      <c r="B5" s="24" t="s">
        <v>48</v>
      </c>
      <c r="C5" s="24">
        <v>678</v>
      </c>
      <c r="D5" s="24">
        <v>18</v>
      </c>
      <c r="E5" s="24">
        <f t="shared" si="0"/>
        <v>660</v>
      </c>
      <c r="F5" s="26">
        <v>0.97345132743362828</v>
      </c>
      <c r="G5" s="26">
        <v>0.97300884955752209</v>
      </c>
      <c r="H5" s="26">
        <v>0.95132743362831862</v>
      </c>
      <c r="I5" s="26">
        <v>0.96017699115044253</v>
      </c>
      <c r="J5" s="27">
        <v>0.98377581120943958</v>
      </c>
      <c r="K5" s="27">
        <v>0.98967551622418881</v>
      </c>
    </row>
    <row r="6" spans="1:11">
      <c r="A6" s="24" t="s">
        <v>65</v>
      </c>
      <c r="B6" s="24" t="s">
        <v>49</v>
      </c>
      <c r="C6" s="24">
        <v>787</v>
      </c>
      <c r="D6" s="24">
        <v>28</v>
      </c>
      <c r="E6" s="24">
        <f t="shared" si="0"/>
        <v>759</v>
      </c>
      <c r="F6" s="26">
        <v>0.96442185514612455</v>
      </c>
      <c r="G6" s="26">
        <v>0.97496823379923758</v>
      </c>
      <c r="H6" s="26">
        <v>0.95679796696315123</v>
      </c>
      <c r="I6" s="26">
        <v>0.96315120711562896</v>
      </c>
      <c r="J6" s="27">
        <v>0.98475222363405335</v>
      </c>
      <c r="K6" s="27">
        <v>0.9898348157560356</v>
      </c>
    </row>
    <row r="7" spans="1:11">
      <c r="A7" s="24" t="s">
        <v>66</v>
      </c>
      <c r="B7" s="24" t="s">
        <v>50</v>
      </c>
      <c r="C7" s="24">
        <v>835</v>
      </c>
      <c r="D7" s="24">
        <v>22</v>
      </c>
      <c r="E7" s="24">
        <f t="shared" si="0"/>
        <v>813</v>
      </c>
      <c r="F7" s="26">
        <v>0.97365269461077841</v>
      </c>
      <c r="G7" s="26">
        <v>0.97796407185628742</v>
      </c>
      <c r="H7" s="26">
        <v>0.96047904191616762</v>
      </c>
      <c r="I7" s="26">
        <v>0.96766467065868267</v>
      </c>
      <c r="J7" s="27">
        <v>0.98682634730538921</v>
      </c>
      <c r="K7" s="27">
        <v>0.99161676646706587</v>
      </c>
    </row>
    <row r="8" spans="1:11">
      <c r="A8" s="24" t="s">
        <v>67</v>
      </c>
      <c r="B8" s="24" t="s">
        <v>51</v>
      </c>
      <c r="C8" s="24">
        <v>890</v>
      </c>
      <c r="D8" s="24">
        <v>22</v>
      </c>
      <c r="E8" s="24">
        <f t="shared" si="0"/>
        <v>868</v>
      </c>
      <c r="F8" s="26">
        <v>0.97528089887640446</v>
      </c>
      <c r="G8" s="26">
        <v>0.97303370786516852</v>
      </c>
      <c r="H8" s="26">
        <v>0.9550561797752809</v>
      </c>
      <c r="I8" s="26">
        <v>0.96179775280898872</v>
      </c>
      <c r="J8" s="27">
        <v>0.9831460674157303</v>
      </c>
      <c r="K8" s="27">
        <v>0.98764044943820228</v>
      </c>
    </row>
    <row r="9" spans="1:11">
      <c r="A9" s="24" t="s">
        <v>68</v>
      </c>
      <c r="B9" s="24" t="s">
        <v>52</v>
      </c>
      <c r="C9" s="24">
        <v>976</v>
      </c>
      <c r="D9" s="24">
        <v>24</v>
      </c>
      <c r="E9" s="24">
        <f t="shared" si="0"/>
        <v>952</v>
      </c>
      <c r="F9" s="26">
        <v>0.97540983606557374</v>
      </c>
      <c r="G9" s="26">
        <v>0.98002049180327866</v>
      </c>
      <c r="H9" s="26">
        <v>0.9651639344262295</v>
      </c>
      <c r="I9" s="26">
        <v>0.97131147540983609</v>
      </c>
      <c r="J9" s="27">
        <v>0.98872950819672134</v>
      </c>
      <c r="K9" s="27">
        <v>0.99180327868852458</v>
      </c>
    </row>
    <row r="10" spans="1:11">
      <c r="A10" s="24" t="s">
        <v>69</v>
      </c>
      <c r="B10" s="24" t="s">
        <v>53</v>
      </c>
      <c r="C10" s="24">
        <v>1056</v>
      </c>
      <c r="D10" s="24">
        <v>26</v>
      </c>
      <c r="E10" s="24">
        <f t="shared" si="0"/>
        <v>1030</v>
      </c>
      <c r="F10" s="26">
        <v>0.97537878787878785</v>
      </c>
      <c r="G10" s="26">
        <v>0.97803030303030303</v>
      </c>
      <c r="H10" s="26">
        <v>0.96306818181818177</v>
      </c>
      <c r="I10" s="26">
        <v>0.96875</v>
      </c>
      <c r="J10" s="27">
        <v>0.9867424242424242</v>
      </c>
      <c r="K10" s="27">
        <v>0.99053030303030298</v>
      </c>
    </row>
    <row r="11" spans="1:11">
      <c r="A11" s="24" t="s">
        <v>70</v>
      </c>
      <c r="B11" s="24" t="s">
        <v>54</v>
      </c>
      <c r="C11" s="24">
        <v>1107</v>
      </c>
      <c r="D11" s="24">
        <v>11</v>
      </c>
      <c r="E11" s="24">
        <f t="shared" si="0"/>
        <v>1096</v>
      </c>
      <c r="F11" s="26">
        <v>0.99006323396567297</v>
      </c>
      <c r="G11" s="26">
        <v>0.97904245709123761</v>
      </c>
      <c r="H11" s="26">
        <v>0.964769647696477</v>
      </c>
      <c r="I11" s="26">
        <v>0.97018970189701892</v>
      </c>
      <c r="J11" s="27">
        <v>0.98735320686540196</v>
      </c>
      <c r="K11" s="27">
        <v>0.99096657633243002</v>
      </c>
    </row>
    <row r="12" spans="1:11">
      <c r="A12" s="24" t="s">
        <v>71</v>
      </c>
      <c r="B12" s="24" t="s">
        <v>55</v>
      </c>
      <c r="C12" s="24">
        <v>1146</v>
      </c>
      <c r="D12" s="24">
        <v>31</v>
      </c>
      <c r="E12" s="24">
        <f t="shared" si="0"/>
        <v>1115</v>
      </c>
      <c r="F12" s="26">
        <v>0.97294938917975571</v>
      </c>
      <c r="G12" s="26">
        <v>0.97399650959860384</v>
      </c>
      <c r="H12" s="26">
        <v>0.95811518324607325</v>
      </c>
      <c r="I12" s="26">
        <v>0.96422338568935428</v>
      </c>
      <c r="J12" s="27">
        <v>0.98254799301919715</v>
      </c>
      <c r="K12" s="27">
        <v>0.98691099476439792</v>
      </c>
    </row>
    <row r="13" spans="1:11">
      <c r="A13" s="24" t="s">
        <v>72</v>
      </c>
      <c r="B13" s="24" t="s">
        <v>56</v>
      </c>
      <c r="C13" s="24">
        <v>1204</v>
      </c>
      <c r="D13" s="24">
        <v>41</v>
      </c>
      <c r="E13" s="24">
        <f t="shared" si="0"/>
        <v>1163</v>
      </c>
      <c r="F13" s="26">
        <v>0.96594684385382057</v>
      </c>
      <c r="G13" s="26">
        <v>0.97200996677740858</v>
      </c>
      <c r="H13" s="26">
        <v>0.95598006644518274</v>
      </c>
      <c r="I13" s="26">
        <v>0.96262458471760792</v>
      </c>
      <c r="J13" s="27">
        <v>0.98089700996677742</v>
      </c>
      <c r="K13" s="27">
        <v>0.98588039867109634</v>
      </c>
    </row>
    <row r="14" spans="1:11">
      <c r="A14" s="24" t="s">
        <v>73</v>
      </c>
      <c r="B14" s="24" t="s">
        <v>57</v>
      </c>
      <c r="C14" s="24">
        <v>1481</v>
      </c>
      <c r="D14" s="24">
        <v>36</v>
      </c>
      <c r="E14" s="24">
        <f t="shared" si="0"/>
        <v>1445</v>
      </c>
      <c r="F14" s="26">
        <v>0.97569209993247807</v>
      </c>
      <c r="G14" s="26">
        <v>0.96826468602295745</v>
      </c>
      <c r="H14" s="26">
        <v>0.95340985820391633</v>
      </c>
      <c r="I14" s="26">
        <v>0.95881161377447666</v>
      </c>
      <c r="J14" s="27">
        <v>0.97704253882511816</v>
      </c>
      <c r="K14" s="27">
        <v>0.98109385550303851</v>
      </c>
    </row>
    <row r="15" spans="1:11">
      <c r="A15" s="24" t="s">
        <v>74</v>
      </c>
      <c r="B15" s="24" t="s">
        <v>58</v>
      </c>
      <c r="C15" s="24">
        <v>1881</v>
      </c>
      <c r="D15" s="24">
        <v>38</v>
      </c>
      <c r="E15" s="24">
        <f t="shared" si="0"/>
        <v>1843</v>
      </c>
      <c r="F15" s="26">
        <v>0.97979797979797978</v>
      </c>
      <c r="G15" s="26">
        <v>0.97698032961190862</v>
      </c>
      <c r="H15" s="26">
        <v>0.96544391281233388</v>
      </c>
      <c r="I15" s="26">
        <v>0.97022860180754922</v>
      </c>
      <c r="J15" s="27">
        <v>0.98351940457203613</v>
      </c>
      <c r="K15" s="27">
        <v>0.98670919723551298</v>
      </c>
    </row>
    <row r="17" spans="1:1">
      <c r="A17" s="31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2015-10-30T09:54:12Z</dcterms:modified>
</cp:coreProperties>
</file>