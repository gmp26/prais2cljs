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819" codeName="{8C4F1C90-05EB-6A55-5F09-09C24B55AC0B}"/>
  <workbookPr codeName="ThisWorkbook" autoCompressPictures="0"/>
  <bookViews>
    <workbookView xWindow="140" yWindow="0" windowWidth="18780" windowHeight="17140"/>
  </bookViews>
  <sheets>
    <sheet name="Setup" sheetId="1" r:id="rId1"/>
    <sheet name="SimulDist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5" i="2"/>
  <c r="F4" i="2"/>
  <c r="F3" i="2"/>
  <c r="F2" i="2"/>
</calcChain>
</file>

<file path=xl/sharedStrings.xml><?xml version="1.0" encoding="utf-8"?>
<sst xmlns="http://schemas.openxmlformats.org/spreadsheetml/2006/main" count="14" uniqueCount="14">
  <si>
    <t>percentiles</t>
  </si>
  <si>
    <t>UB risk</t>
  </si>
  <si>
    <t>Centile</t>
  </si>
  <si>
    <t>Simul Pat num</t>
  </si>
  <si>
    <t>Simul risk</t>
  </si>
  <si>
    <t>Number of patients to generate risks for</t>
  </si>
  <si>
    <t>sim</t>
  </si>
  <si>
    <t>actual</t>
  </si>
  <si>
    <t>LQ</t>
  </si>
  <si>
    <t>Median</t>
  </si>
  <si>
    <t>UQ</t>
  </si>
  <si>
    <t>mean</t>
  </si>
  <si>
    <t>UB surv</t>
  </si>
  <si>
    <t>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</si>
</sst>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9" fontId="0" fillId="0" borderId="0" xfId="0" applyNumberFormat="1"/>
    <xf numFmtId="0" fontId="0" fillId="0" borderId="1" xfId="0" applyBorder="1"/>
    <xf numFmtId="0" fontId="0" fillId="0" borderId="2" xfId="0" applyFill="1" applyBorder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4</xdr:row>
      <xdr:rowOff>161925</xdr:rowOff>
    </xdr:from>
    <xdr:to>
      <xdr:col>9</xdr:col>
      <xdr:colOff>361950</xdr:colOff>
      <xdr:row>8</xdr:row>
      <xdr:rowOff>0</xdr:rowOff>
    </xdr:to>
    <xdr:sp macro="[0]!GenRiskDist" textlink="">
      <xdr:nvSpPr>
        <xdr:cNvPr id="2" name="TextBox 1"/>
        <xdr:cNvSpPr txBox="1"/>
      </xdr:nvSpPr>
      <xdr:spPr>
        <a:xfrm>
          <a:off x="4924425" y="1114425"/>
          <a:ext cx="2286000" cy="600075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 b="1">
              <a:solidFill>
                <a:schemeClr val="bg1"/>
              </a:solidFill>
            </a:rPr>
            <a:t>Generate</a:t>
          </a:r>
          <a:r>
            <a:rPr lang="en-GB" sz="1600" b="1" baseline="0">
              <a:solidFill>
                <a:schemeClr val="bg1"/>
              </a:solidFill>
            </a:rPr>
            <a:t> predicted risks</a:t>
          </a:r>
          <a:endParaRPr lang="en-GB" sz="16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1"/>
  <sheetViews>
    <sheetView tabSelected="1" workbookViewId="0">
      <selection activeCell="F16" sqref="F16"/>
    </sheetView>
  </sheetViews>
  <sheetFormatPr baseColWidth="10" defaultColWidth="8.83203125" defaultRowHeight="14" x14ac:dyDescent="0"/>
  <cols>
    <col min="2" max="2" width="15.1640625" customWidth="1"/>
    <col min="3" max="3" width="9.83203125" customWidth="1"/>
  </cols>
  <sheetData>
    <row r="1" spans="1:6">
      <c r="A1" s="2" t="s">
        <v>2</v>
      </c>
      <c r="B1" s="2" t="s">
        <v>0</v>
      </c>
      <c r="C1" s="2" t="s">
        <v>1</v>
      </c>
      <c r="D1" s="3" t="s">
        <v>12</v>
      </c>
      <c r="E1" s="3" t="s">
        <v>13</v>
      </c>
    </row>
    <row r="2" spans="1:6">
      <c r="A2" s="2">
        <v>1</v>
      </c>
      <c r="B2" s="2">
        <v>0.05</v>
      </c>
      <c r="C2" s="2">
        <v>5.4560000000000003E-4</v>
      </c>
      <c r="D2">
        <f>ROUND(100*(1-C2),0)</f>
        <v>100</v>
      </c>
      <c r="F2" t="s">
        <v>5</v>
      </c>
    </row>
    <row r="3" spans="1:6">
      <c r="A3" s="2">
        <v>2</v>
      </c>
      <c r="B3" s="2">
        <v>0.1</v>
      </c>
      <c r="C3" s="2">
        <v>9.9879999999999999E-4</v>
      </c>
      <c r="D3">
        <f t="shared" ref="D3:D21" si="0">ROUND(100*(1-C3),0)</f>
        <v>100</v>
      </c>
      <c r="F3">
        <v>100</v>
      </c>
    </row>
    <row r="4" spans="1:6">
      <c r="A4" s="2">
        <v>3</v>
      </c>
      <c r="B4" s="2">
        <v>0.15</v>
      </c>
      <c r="C4" s="2">
        <v>1.5797999999999999E-3</v>
      </c>
      <c r="D4">
        <f t="shared" si="0"/>
        <v>100</v>
      </c>
    </row>
    <row r="5" spans="1:6">
      <c r="A5" s="2">
        <v>4</v>
      </c>
      <c r="B5" s="2">
        <v>0.2</v>
      </c>
      <c r="C5" s="2">
        <v>2.3617999999999998E-3</v>
      </c>
      <c r="D5">
        <f t="shared" si="0"/>
        <v>100</v>
      </c>
    </row>
    <row r="6" spans="1:6">
      <c r="A6" s="2">
        <v>5</v>
      </c>
      <c r="B6" s="2">
        <v>0.25</v>
      </c>
      <c r="C6" s="2">
        <v>3.3582999999999998E-3</v>
      </c>
      <c r="D6">
        <f t="shared" si="0"/>
        <v>100</v>
      </c>
    </row>
    <row r="7" spans="1:6">
      <c r="A7" s="2">
        <v>6</v>
      </c>
      <c r="B7" s="2">
        <v>0.3</v>
      </c>
      <c r="C7" s="2">
        <v>4.4387999999999997E-3</v>
      </c>
      <c r="D7">
        <f t="shared" si="0"/>
        <v>100</v>
      </c>
    </row>
    <row r="8" spans="1:6">
      <c r="A8" s="2">
        <v>7</v>
      </c>
      <c r="B8" s="2">
        <v>0.35</v>
      </c>
      <c r="C8" s="2">
        <v>5.6236000000000003E-3</v>
      </c>
      <c r="D8">
        <f t="shared" si="0"/>
        <v>99</v>
      </c>
    </row>
    <row r="9" spans="1:6">
      <c r="A9" s="2">
        <v>8</v>
      </c>
      <c r="B9" s="2">
        <v>0.4</v>
      </c>
      <c r="C9" s="2">
        <v>6.8915000000000001E-3</v>
      </c>
      <c r="D9">
        <f t="shared" si="0"/>
        <v>99</v>
      </c>
    </row>
    <row r="10" spans="1:6">
      <c r="A10" s="2">
        <v>9</v>
      </c>
      <c r="B10" s="2">
        <v>0.45</v>
      </c>
      <c r="C10" s="2">
        <v>8.4388999999999992E-3</v>
      </c>
      <c r="D10">
        <f t="shared" si="0"/>
        <v>99</v>
      </c>
    </row>
    <row r="11" spans="1:6">
      <c r="A11" s="2">
        <v>10</v>
      </c>
      <c r="B11" s="2">
        <v>0.5</v>
      </c>
      <c r="C11" s="2">
        <v>1.02027E-2</v>
      </c>
      <c r="D11">
        <f t="shared" si="0"/>
        <v>99</v>
      </c>
    </row>
    <row r="12" spans="1:6">
      <c r="A12" s="2">
        <v>11</v>
      </c>
      <c r="B12" s="2">
        <v>0.55000000000000004</v>
      </c>
      <c r="C12" s="2">
        <v>1.23412E-2</v>
      </c>
      <c r="D12">
        <f t="shared" si="0"/>
        <v>99</v>
      </c>
    </row>
    <row r="13" spans="1:6">
      <c r="A13" s="2">
        <v>12</v>
      </c>
      <c r="B13" s="2">
        <v>0.6</v>
      </c>
      <c r="C13" s="2">
        <v>1.5148699999999999E-2</v>
      </c>
      <c r="D13">
        <f t="shared" si="0"/>
        <v>98</v>
      </c>
    </row>
    <row r="14" spans="1:6">
      <c r="A14" s="2">
        <v>13</v>
      </c>
      <c r="B14" s="2">
        <v>0.65</v>
      </c>
      <c r="C14" s="2">
        <v>1.8422299999999999E-2</v>
      </c>
      <c r="D14">
        <f t="shared" si="0"/>
        <v>98</v>
      </c>
    </row>
    <row r="15" spans="1:6">
      <c r="A15" s="2">
        <v>14</v>
      </c>
      <c r="B15" s="2">
        <v>0.7</v>
      </c>
      <c r="C15" s="2">
        <v>2.2653599999999999E-2</v>
      </c>
      <c r="D15">
        <f t="shared" si="0"/>
        <v>98</v>
      </c>
    </row>
    <row r="16" spans="1:6">
      <c r="A16" s="2">
        <v>15</v>
      </c>
      <c r="B16" s="2">
        <v>0.75</v>
      </c>
      <c r="C16" s="2">
        <v>2.7824600000000001E-2</v>
      </c>
      <c r="D16">
        <f t="shared" si="0"/>
        <v>97</v>
      </c>
    </row>
    <row r="17" spans="1:4">
      <c r="A17" s="2">
        <v>16</v>
      </c>
      <c r="B17" s="2">
        <v>0.8</v>
      </c>
      <c r="C17" s="2">
        <v>3.4842199999999997E-2</v>
      </c>
      <c r="D17">
        <f t="shared" si="0"/>
        <v>97</v>
      </c>
    </row>
    <row r="18" spans="1:4">
      <c r="A18" s="2">
        <v>17</v>
      </c>
      <c r="B18" s="2">
        <v>0.85</v>
      </c>
      <c r="C18" s="2">
        <v>4.6386700000000003E-2</v>
      </c>
      <c r="D18">
        <f t="shared" si="0"/>
        <v>95</v>
      </c>
    </row>
    <row r="19" spans="1:4">
      <c r="A19" s="2">
        <v>18</v>
      </c>
      <c r="B19" s="2">
        <v>0.9</v>
      </c>
      <c r="C19" s="2">
        <v>6.4042699999999994E-2</v>
      </c>
      <c r="D19">
        <f t="shared" si="0"/>
        <v>94</v>
      </c>
    </row>
    <row r="20" spans="1:4">
      <c r="A20" s="2">
        <v>19</v>
      </c>
      <c r="B20" s="2">
        <v>0.95</v>
      </c>
      <c r="C20" s="2">
        <v>0.1017762</v>
      </c>
      <c r="D20">
        <f t="shared" si="0"/>
        <v>90</v>
      </c>
    </row>
    <row r="21" spans="1:4">
      <c r="A21" s="2">
        <v>20</v>
      </c>
      <c r="B21" s="2">
        <v>1</v>
      </c>
      <c r="C21" s="2">
        <v>0.63407729999999995</v>
      </c>
      <c r="D21">
        <f t="shared" si="0"/>
        <v>37</v>
      </c>
    </row>
  </sheetData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101"/>
  <sheetViews>
    <sheetView workbookViewId="0">
      <selection activeCell="B26" sqref="B26"/>
    </sheetView>
  </sheetViews>
  <sheetFormatPr baseColWidth="10" defaultColWidth="8.83203125" defaultRowHeight="14" x14ac:dyDescent="0"/>
  <cols>
    <col min="1" max="1" width="15.33203125" customWidth="1"/>
    <col min="2" max="2" width="12.33203125" customWidth="1"/>
  </cols>
  <sheetData>
    <row r="1" spans="1:7">
      <c r="A1" t="s">
        <v>3</v>
      </c>
      <c r="B1" t="s">
        <v>4</v>
      </c>
      <c r="F1" t="s">
        <v>6</v>
      </c>
      <c r="G1" t="s">
        <v>7</v>
      </c>
    </row>
    <row r="2" spans="1:7">
      <c r="A2">
        <v>1</v>
      </c>
      <c r="B2">
        <v>1.4651554960489273E-3</v>
      </c>
      <c r="E2" s="1" t="s">
        <v>8</v>
      </c>
      <c r="F2">
        <f>QUARTILE($B$2:$B$101,1)</f>
        <v>3.4981042482435699E-3</v>
      </c>
      <c r="G2">
        <v>3.0000000000000001E-3</v>
      </c>
    </row>
    <row r="3" spans="1:7">
      <c r="A3">
        <v>2</v>
      </c>
      <c r="B3">
        <v>1.321566483194828E-2</v>
      </c>
      <c r="E3" t="s">
        <v>9</v>
      </c>
      <c r="F3">
        <f>QUARTILE($B$2:$B$101,2)</f>
        <v>1.03768787545681E-2</v>
      </c>
      <c r="G3">
        <v>0.01</v>
      </c>
    </row>
    <row r="4" spans="1:7">
      <c r="A4">
        <v>3</v>
      </c>
      <c r="B4">
        <v>1.3350901354801655E-2</v>
      </c>
      <c r="E4" t="s">
        <v>10</v>
      </c>
      <c r="F4">
        <f>QUARTILE($B$2:$B$101,3)</f>
        <v>3.1455250645542145E-2</v>
      </c>
      <c r="G4">
        <v>2.7E-2</v>
      </c>
    </row>
    <row r="5" spans="1:7">
      <c r="A5">
        <v>4</v>
      </c>
      <c r="B5">
        <v>7.68704797000885E-3</v>
      </c>
      <c r="E5" t="s">
        <v>11</v>
      </c>
      <c r="F5">
        <f>AVERAGE($B$2:$B$101)</f>
        <v>3.3742775180218114E-2</v>
      </c>
      <c r="G5">
        <v>2.4E-2</v>
      </c>
    </row>
    <row r="6" spans="1:7">
      <c r="A6">
        <v>5</v>
      </c>
      <c r="B6">
        <v>9.5027054142951973E-4</v>
      </c>
    </row>
    <row r="7" spans="1:7">
      <c r="A7">
        <v>6</v>
      </c>
      <c r="B7">
        <v>1.4048251524448395E-3</v>
      </c>
    </row>
    <row r="8" spans="1:7">
      <c r="A8">
        <v>7</v>
      </c>
      <c r="B8">
        <v>3.5103998117101187E-2</v>
      </c>
    </row>
    <row r="9" spans="1:7">
      <c r="A9">
        <v>8</v>
      </c>
      <c r="B9">
        <v>6.6768437404108039E-2</v>
      </c>
    </row>
    <row r="10" spans="1:7">
      <c r="A10">
        <v>9</v>
      </c>
      <c r="B10">
        <v>2.9462209933853151E-2</v>
      </c>
    </row>
    <row r="11" spans="1:7">
      <c r="A11">
        <v>10</v>
      </c>
      <c r="B11">
        <v>6.4087314308404926E-3</v>
      </c>
    </row>
    <row r="12" spans="1:7">
      <c r="A12">
        <v>11</v>
      </c>
      <c r="B12">
        <v>1.0233233109128475E-2</v>
      </c>
    </row>
    <row r="13" spans="1:7">
      <c r="A13">
        <v>12</v>
      </c>
      <c r="B13">
        <v>1.2130213649749755E-3</v>
      </c>
    </row>
    <row r="14" spans="1:7">
      <c r="A14">
        <v>13</v>
      </c>
      <c r="B14">
        <v>1.3043818324458599E-2</v>
      </c>
    </row>
    <row r="15" spans="1:7">
      <c r="A15">
        <v>14</v>
      </c>
      <c r="B15">
        <v>1.4893492382121086E-2</v>
      </c>
    </row>
    <row r="16" spans="1:7">
      <c r="A16">
        <v>15</v>
      </c>
      <c r="B16">
        <v>2.2070856331908702E-2</v>
      </c>
    </row>
    <row r="17" spans="1:2">
      <c r="A17">
        <v>16</v>
      </c>
      <c r="B17">
        <v>0.18376772566523553</v>
      </c>
    </row>
    <row r="18" spans="1:2">
      <c r="A18">
        <v>17</v>
      </c>
      <c r="B18">
        <v>2.6263135911917687E-2</v>
      </c>
    </row>
    <row r="19" spans="1:2">
      <c r="A19">
        <v>18</v>
      </c>
      <c r="B19">
        <v>7.7550160969090454E-2</v>
      </c>
    </row>
    <row r="20" spans="1:2">
      <c r="A20">
        <v>19</v>
      </c>
      <c r="B20">
        <v>9.6252927000284195E-3</v>
      </c>
    </row>
    <row r="21" spans="1:2">
      <c r="A21">
        <v>20</v>
      </c>
      <c r="B21">
        <v>1.6398600076293946E-2</v>
      </c>
    </row>
    <row r="22" spans="1:2">
      <c r="A22">
        <v>21</v>
      </c>
      <c r="B22">
        <v>4.9197288114738467E-2</v>
      </c>
    </row>
    <row r="23" spans="1:2">
      <c r="A23">
        <v>22</v>
      </c>
      <c r="B23">
        <v>1.7428702338218689E-3</v>
      </c>
    </row>
    <row r="24" spans="1:2">
      <c r="A24">
        <v>23</v>
      </c>
      <c r="B24">
        <v>1.7209201059341428E-2</v>
      </c>
    </row>
    <row r="25" spans="1:2">
      <c r="A25">
        <v>24</v>
      </c>
      <c r="B25">
        <v>8.668233327865601E-4</v>
      </c>
    </row>
    <row r="26" spans="1:2">
      <c r="A26">
        <v>25</v>
      </c>
      <c r="B26">
        <v>1.3869502195966244E-2</v>
      </c>
    </row>
    <row r="27" spans="1:2">
      <c r="A27">
        <v>26</v>
      </c>
      <c r="B27">
        <v>8.4316107053756715E-4</v>
      </c>
    </row>
    <row r="28" spans="1:2">
      <c r="A28">
        <v>27</v>
      </c>
      <c r="B28">
        <v>2.7000136852264406E-4</v>
      </c>
    </row>
    <row r="29" spans="1:2">
      <c r="A29">
        <v>28</v>
      </c>
      <c r="B29">
        <v>1.0193576339721681E-2</v>
      </c>
    </row>
    <row r="30" spans="1:2">
      <c r="A30">
        <v>29</v>
      </c>
      <c r="B30">
        <v>2.571658085486889E-2</v>
      </c>
    </row>
    <row r="31" spans="1:2">
      <c r="A31">
        <v>30</v>
      </c>
      <c r="B31">
        <v>0.28863524462478157</v>
      </c>
    </row>
    <row r="32" spans="1:2">
      <c r="A32">
        <v>31</v>
      </c>
      <c r="B32">
        <v>4.5682856665611267E-3</v>
      </c>
    </row>
    <row r="33" spans="1:2">
      <c r="A33">
        <v>32</v>
      </c>
      <c r="B33">
        <v>4.4111442319345474E-2</v>
      </c>
    </row>
    <row r="34" spans="1:2">
      <c r="A34">
        <v>33</v>
      </c>
      <c r="B34">
        <v>1.2137716650247573E-3</v>
      </c>
    </row>
    <row r="35" spans="1:2">
      <c r="A35">
        <v>34</v>
      </c>
      <c r="B35">
        <v>1.5181950536251067E-3</v>
      </c>
    </row>
    <row r="36" spans="1:2">
      <c r="A36">
        <v>35</v>
      </c>
      <c r="B36">
        <v>1.5165536467313767E-3</v>
      </c>
    </row>
    <row r="37" spans="1:2">
      <c r="A37">
        <v>36</v>
      </c>
      <c r="B37">
        <v>6.7636490797996522E-3</v>
      </c>
    </row>
    <row r="38" spans="1:2">
      <c r="A38">
        <v>37</v>
      </c>
      <c r="B38">
        <v>4.2140922412872315E-4</v>
      </c>
    </row>
    <row r="39" spans="1:2">
      <c r="A39">
        <v>38</v>
      </c>
      <c r="B39">
        <v>6.0553648365736009E-3</v>
      </c>
    </row>
    <row r="40" spans="1:2">
      <c r="A40">
        <v>39</v>
      </c>
      <c r="B40">
        <v>3.0189616616439818E-2</v>
      </c>
    </row>
    <row r="41" spans="1:2">
      <c r="A41">
        <v>40</v>
      </c>
      <c r="B41">
        <v>2.1684996583938598E-3</v>
      </c>
    </row>
    <row r="42" spans="1:2">
      <c r="A42">
        <v>41</v>
      </c>
      <c r="B42">
        <v>6.9264820236444469E-3</v>
      </c>
    </row>
    <row r="43" spans="1:2">
      <c r="A43">
        <v>42</v>
      </c>
      <c r="B43">
        <v>1.1697607610297204E-2</v>
      </c>
    </row>
    <row r="44" spans="1:2">
      <c r="A44">
        <v>43</v>
      </c>
      <c r="B44">
        <v>4.0863878726851939E-2</v>
      </c>
    </row>
    <row r="45" spans="1:2">
      <c r="A45">
        <v>44</v>
      </c>
      <c r="B45">
        <v>6.9475565341949467E-3</v>
      </c>
    </row>
    <row r="46" spans="1:2">
      <c r="A46">
        <v>45</v>
      </c>
      <c r="B46">
        <v>7.053137051023245E-2</v>
      </c>
    </row>
    <row r="47" spans="1:2">
      <c r="A47">
        <v>46</v>
      </c>
      <c r="B47">
        <v>8.0302887475562093E-2</v>
      </c>
    </row>
    <row r="48" spans="1:2">
      <c r="A48">
        <v>47</v>
      </c>
      <c r="B48">
        <v>4.0041746156096458E-3</v>
      </c>
    </row>
    <row r="49" spans="1:2">
      <c r="A49">
        <v>48</v>
      </c>
      <c r="B49">
        <v>2.48625463681221E-3</v>
      </c>
    </row>
    <row r="50" spans="1:2">
      <c r="A50">
        <v>49</v>
      </c>
      <c r="B50">
        <v>3.2033985632705687E-2</v>
      </c>
    </row>
    <row r="51" spans="1:2">
      <c r="A51">
        <v>50</v>
      </c>
      <c r="B51">
        <v>0.60784376326067446</v>
      </c>
    </row>
    <row r="52" spans="1:2">
      <c r="A52">
        <v>51</v>
      </c>
      <c r="B52">
        <v>8.9617213522195805E-3</v>
      </c>
    </row>
    <row r="53" spans="1:2">
      <c r="A53">
        <v>52</v>
      </c>
      <c r="B53">
        <v>4.1739145203304288E-2</v>
      </c>
    </row>
    <row r="54" spans="1:2">
      <c r="A54">
        <v>53</v>
      </c>
      <c r="B54">
        <v>4.0773106559288501E-2</v>
      </c>
    </row>
    <row r="55" spans="1:2">
      <c r="A55">
        <v>54</v>
      </c>
      <c r="B55">
        <v>8.661324963712691E-3</v>
      </c>
    </row>
    <row r="56" spans="1:2">
      <c r="A56">
        <v>55</v>
      </c>
      <c r="B56">
        <v>3.8193220388770101E-3</v>
      </c>
    </row>
    <row r="57" spans="1:2">
      <c r="A57">
        <v>56</v>
      </c>
      <c r="B57">
        <v>6.5562128208637238E-3</v>
      </c>
    </row>
    <row r="58" spans="1:2">
      <c r="A58">
        <v>57</v>
      </c>
      <c r="B58">
        <v>2.4977117341017725E-2</v>
      </c>
    </row>
    <row r="59" spans="1:2">
      <c r="A59">
        <v>58</v>
      </c>
      <c r="B59">
        <v>6.6098854799509048E-3</v>
      </c>
    </row>
    <row r="60" spans="1:2">
      <c r="A60">
        <v>59</v>
      </c>
      <c r="B60">
        <v>2.4596519134259223E-2</v>
      </c>
    </row>
    <row r="61" spans="1:2">
      <c r="A61">
        <v>60</v>
      </c>
      <c r="B61">
        <v>1.5986919296264647E-3</v>
      </c>
    </row>
    <row r="62" spans="1:2">
      <c r="A62">
        <v>61</v>
      </c>
      <c r="B62">
        <v>9.7976990129232406E-3</v>
      </c>
    </row>
    <row r="63" spans="1:2">
      <c r="A63">
        <v>62</v>
      </c>
      <c r="B63">
        <v>6.2717278871536261E-4</v>
      </c>
    </row>
    <row r="64" spans="1:2">
      <c r="A64">
        <v>63</v>
      </c>
      <c r="B64">
        <v>9.5129248320817948E-3</v>
      </c>
    </row>
    <row r="65" spans="1:2">
      <c r="A65">
        <v>64</v>
      </c>
      <c r="B65">
        <v>4.0619378901004793E-3</v>
      </c>
    </row>
    <row r="66" spans="1:2">
      <c r="A66">
        <v>65</v>
      </c>
      <c r="B66">
        <v>6.2208827271461491E-4</v>
      </c>
    </row>
    <row r="67" spans="1:2">
      <c r="A67">
        <v>66</v>
      </c>
      <c r="B67">
        <v>0.39958164827864168</v>
      </c>
    </row>
    <row r="68" spans="1:2">
      <c r="A68">
        <v>67</v>
      </c>
      <c r="B68">
        <v>7.1541100538969043E-3</v>
      </c>
    </row>
    <row r="69" spans="1:2">
      <c r="A69">
        <v>68</v>
      </c>
      <c r="B69">
        <v>1.0033551309585572E-3</v>
      </c>
    </row>
    <row r="70" spans="1:2">
      <c r="A70">
        <v>69</v>
      </c>
      <c r="B70">
        <v>2.8979221895217896E-2</v>
      </c>
    </row>
    <row r="71" spans="1:2">
      <c r="A71">
        <v>70</v>
      </c>
      <c r="B71">
        <v>8.1592933359146116E-4</v>
      </c>
    </row>
    <row r="72" spans="1:2">
      <c r="A72">
        <v>71</v>
      </c>
      <c r="B72">
        <v>7.0822178088200086E-2</v>
      </c>
    </row>
    <row r="73" spans="1:2">
      <c r="A73">
        <v>72</v>
      </c>
      <c r="B73">
        <v>3.7015706096601486E-2</v>
      </c>
    </row>
    <row r="74" spans="1:2">
      <c r="A74">
        <v>73</v>
      </c>
      <c r="B74">
        <v>5.7082734842491149E-2</v>
      </c>
    </row>
    <row r="75" spans="1:2">
      <c r="A75">
        <v>74</v>
      </c>
      <c r="B75">
        <v>4.3570710198163982E-3</v>
      </c>
    </row>
    <row r="76" spans="1:2">
      <c r="A76">
        <v>75</v>
      </c>
      <c r="B76">
        <v>1.9854612801206113E-2</v>
      </c>
    </row>
    <row r="77" spans="1:2">
      <c r="A77">
        <v>76</v>
      </c>
      <c r="B77">
        <v>3.1262338983154295E-2</v>
      </c>
    </row>
    <row r="78" spans="1:2">
      <c r="A78">
        <v>77</v>
      </c>
      <c r="B78">
        <v>4.9367941991996768E-2</v>
      </c>
    </row>
    <row r="79" spans="1:2">
      <c r="A79">
        <v>78</v>
      </c>
      <c r="B79">
        <v>8.3089098100662233E-4</v>
      </c>
    </row>
    <row r="80" spans="1:2">
      <c r="A80">
        <v>79</v>
      </c>
      <c r="B80">
        <v>5.3873781055641175E-2</v>
      </c>
    </row>
    <row r="81" spans="1:2">
      <c r="A81">
        <v>80</v>
      </c>
      <c r="B81">
        <v>2.293870864677429E-3</v>
      </c>
    </row>
    <row r="82" spans="1:2">
      <c r="A82">
        <v>81</v>
      </c>
      <c r="B82">
        <v>6.7115548327326777E-3</v>
      </c>
    </row>
    <row r="83" spans="1:2">
      <c r="A83">
        <v>82</v>
      </c>
      <c r="B83">
        <v>9.2398341583561888E-2</v>
      </c>
    </row>
    <row r="84" spans="1:2">
      <c r="A84">
        <v>83</v>
      </c>
      <c r="B84">
        <v>6.0375037094306944E-2</v>
      </c>
    </row>
    <row r="85" spans="1:2">
      <c r="A85">
        <v>84</v>
      </c>
      <c r="B85">
        <v>7.9153618391036989E-3</v>
      </c>
    </row>
    <row r="86" spans="1:2">
      <c r="A86">
        <v>85</v>
      </c>
      <c r="B86">
        <v>2.8660244089245795E-3</v>
      </c>
    </row>
    <row r="87" spans="1:2">
      <c r="A87">
        <v>86</v>
      </c>
      <c r="B87">
        <v>6.0210274438095089E-2</v>
      </c>
    </row>
    <row r="88" spans="1:2">
      <c r="A88">
        <v>87</v>
      </c>
      <c r="B88">
        <v>2.7189808359360697E-2</v>
      </c>
    </row>
    <row r="89" spans="1:2">
      <c r="A89">
        <v>88</v>
      </c>
      <c r="B89">
        <v>2.5974455616092684E-2</v>
      </c>
    </row>
    <row r="90" spans="1:2">
      <c r="A90">
        <v>89</v>
      </c>
      <c r="B90">
        <v>2.6340971726059913E-3</v>
      </c>
    </row>
    <row r="91" spans="1:2">
      <c r="A91">
        <v>90</v>
      </c>
      <c r="B91">
        <v>7.0446377328705789E-2</v>
      </c>
    </row>
    <row r="92" spans="1:2">
      <c r="A92">
        <v>91</v>
      </c>
      <c r="B92">
        <v>1.4281652013313769E-2</v>
      </c>
    </row>
    <row r="93" spans="1:2">
      <c r="A93">
        <v>92</v>
      </c>
      <c r="B93">
        <v>1.2265545211029053E-2</v>
      </c>
    </row>
    <row r="94" spans="1:2">
      <c r="A94">
        <v>93</v>
      </c>
      <c r="B94">
        <v>1.0520524400007725E-2</v>
      </c>
    </row>
    <row r="95" spans="1:2">
      <c r="A95">
        <v>94</v>
      </c>
      <c r="B95">
        <v>1.4617250121188164E-2</v>
      </c>
    </row>
    <row r="96" spans="1:2">
      <c r="A96">
        <v>95</v>
      </c>
      <c r="B96">
        <v>3.7087975280165669E-3</v>
      </c>
    </row>
    <row r="97" spans="1:2">
      <c r="A97">
        <v>96</v>
      </c>
      <c r="B97">
        <v>7.4586854648590092E-4</v>
      </c>
    </row>
    <row r="98" spans="1:2">
      <c r="A98">
        <v>97</v>
      </c>
      <c r="B98">
        <v>1.9309101701259612E-3</v>
      </c>
    </row>
    <row r="99" spans="1:2">
      <c r="A99">
        <v>98</v>
      </c>
      <c r="B99">
        <v>7.754912811803817E-3</v>
      </c>
    </row>
    <row r="100" spans="1:2">
      <c r="A100">
        <v>99</v>
      </c>
      <c r="B100">
        <v>2.4956500181889534E-2</v>
      </c>
    </row>
    <row r="101" spans="1:2">
      <c r="A101">
        <v>100</v>
      </c>
      <c r="B101">
        <v>4.7978386271667485E-2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SimulDist</vt:lpstr>
    </vt:vector>
  </TitlesOfParts>
  <Company>Great Ormond Street Hospital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 Pagel</dc:creator>
  <cp:lastModifiedBy>Mike Pearson</cp:lastModifiedBy>
  <dcterms:created xsi:type="dcterms:W3CDTF">2016-03-03T10:43:51Z</dcterms:created>
  <dcterms:modified xsi:type="dcterms:W3CDTF">2016-03-28T09:36:40Z</dcterms:modified>
</cp:coreProperties>
</file>