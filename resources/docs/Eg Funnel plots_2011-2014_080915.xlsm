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45" windowWidth="15120" windowHeight="6930"/>
  </bookViews>
  <sheets>
    <sheet name="Data" sheetId="2" r:id="rId1"/>
    <sheet name="EGFunnelChartSurvboth" sheetId="21" r:id="rId2"/>
    <sheet name="EGFunnelChartNICOR" sheetId="15" r:id="rId3"/>
    <sheet name="EGFunnelChartSurv" sheetId="16" r:id="rId4"/>
    <sheet name="EGFunnelChartSurvjust975" sheetId="19" r:id="rId5"/>
  </sheets>
  <calcPr calcId="145621"/>
</workbook>
</file>

<file path=xl/calcChain.xml><?xml version="1.0" encoding="utf-8"?>
<calcChain xmlns="http://schemas.openxmlformats.org/spreadsheetml/2006/main">
  <c r="B36" i="2" l="1"/>
  <c r="B35" i="2"/>
  <c r="I35" i="2" s="1"/>
  <c r="B34" i="2"/>
  <c r="I34" i="2" s="1"/>
  <c r="B33" i="2"/>
  <c r="B32" i="2"/>
  <c r="B31" i="2"/>
  <c r="I31" i="2" s="1"/>
  <c r="B30" i="2"/>
  <c r="I30" i="2" s="1"/>
  <c r="B29" i="2"/>
  <c r="B28" i="2"/>
  <c r="B27" i="2"/>
  <c r="I27" i="2" s="1"/>
  <c r="B26" i="2"/>
  <c r="I26" i="2" s="1"/>
  <c r="B25" i="2"/>
  <c r="B24" i="2"/>
  <c r="B23" i="2"/>
  <c r="I23" i="2" s="1"/>
  <c r="I36" i="2"/>
  <c r="I33" i="2"/>
  <c r="I32" i="2"/>
  <c r="I29" i="2"/>
  <c r="I28" i="2"/>
  <c r="I25" i="2"/>
  <c r="I24" i="2"/>
  <c r="E17" i="2"/>
  <c r="E16" i="2"/>
  <c r="E14" i="2"/>
  <c r="H52" i="2" s="1"/>
  <c r="E15" i="2"/>
  <c r="E13" i="2"/>
  <c r="E11" i="2"/>
  <c r="E10" i="2"/>
  <c r="H48" i="2" s="1"/>
  <c r="E9" i="2"/>
  <c r="E8" i="2"/>
  <c r="E12" i="2"/>
  <c r="E7" i="2"/>
  <c r="H44" i="2" s="1"/>
  <c r="E6" i="2"/>
  <c r="E5" i="2"/>
  <c r="E4" i="2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  <c r="G5" i="2"/>
  <c r="I5" i="2" s="1"/>
  <c r="G4" i="2"/>
  <c r="I4" i="2" s="1"/>
  <c r="N6" i="2" l="1"/>
  <c r="N8" i="2"/>
  <c r="N10" i="2"/>
  <c r="N14" i="2"/>
  <c r="N16" i="2"/>
  <c r="L4" i="2"/>
  <c r="H23" i="2" s="1"/>
  <c r="H41" i="2"/>
  <c r="L6" i="2"/>
  <c r="H25" i="2" s="1"/>
  <c r="H43" i="2"/>
  <c r="L10" i="2"/>
  <c r="H29" i="2" s="1"/>
  <c r="H47" i="2"/>
  <c r="L12" i="2"/>
  <c r="H31" i="2" s="1"/>
  <c r="H49" i="2"/>
  <c r="L14" i="2"/>
  <c r="H33" i="2" s="1"/>
  <c r="H51" i="2"/>
  <c r="L16" i="2"/>
  <c r="H35" i="2" s="1"/>
  <c r="H53" i="2"/>
  <c r="N5" i="2"/>
  <c r="N7" i="2"/>
  <c r="N9" i="2"/>
  <c r="N11" i="2"/>
  <c r="N13" i="2"/>
  <c r="N15" i="2"/>
  <c r="N17" i="2"/>
  <c r="L5" i="2"/>
  <c r="H24" i="2" s="1"/>
  <c r="H42" i="2"/>
  <c r="L9" i="2"/>
  <c r="H28" i="2" s="1"/>
  <c r="H46" i="2"/>
  <c r="L13" i="2"/>
  <c r="H32" i="2" s="1"/>
  <c r="H50" i="2"/>
  <c r="L17" i="2"/>
  <c r="H36" i="2" s="1"/>
  <c r="H54" i="2"/>
  <c r="N4" i="2"/>
  <c r="N12" i="2"/>
  <c r="L8" i="2"/>
  <c r="H27" i="2" s="1"/>
  <c r="H45" i="2"/>
  <c r="H17" i="2"/>
  <c r="J5" i="2"/>
  <c r="H9" i="2"/>
  <c r="L7" i="2"/>
  <c r="H26" i="2" s="1"/>
  <c r="L11" i="2"/>
  <c r="H30" i="2" s="1"/>
  <c r="L15" i="2"/>
  <c r="H34" i="2" s="1"/>
  <c r="H13" i="2"/>
  <c r="J6" i="2"/>
  <c r="J9" i="2"/>
  <c r="J13" i="2"/>
  <c r="J17" i="2"/>
  <c r="H7" i="2"/>
  <c r="H11" i="2"/>
  <c r="H15" i="2"/>
  <c r="H5" i="2"/>
  <c r="J7" i="2"/>
  <c r="J11" i="2"/>
  <c r="J15" i="2"/>
  <c r="J8" i="2"/>
  <c r="J10" i="2"/>
  <c r="J12" i="2"/>
  <c r="J14" i="2"/>
  <c r="J16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J4" i="2"/>
  <c r="H4" i="2"/>
  <c r="H6" i="2"/>
  <c r="H8" i="2"/>
  <c r="H10" i="2"/>
  <c r="H12" i="2"/>
  <c r="D49" i="2" s="1"/>
  <c r="H14" i="2"/>
  <c r="H16" i="2"/>
  <c r="M16" i="2" l="1"/>
  <c r="C35" i="2" s="1"/>
  <c r="C53" i="2"/>
  <c r="M8" i="2"/>
  <c r="C45" i="2"/>
  <c r="M4" i="2"/>
  <c r="C23" i="2" s="1"/>
  <c r="C41" i="2"/>
  <c r="P17" i="2"/>
  <c r="G36" i="2" s="1"/>
  <c r="F54" i="2"/>
  <c r="G54" i="2"/>
  <c r="P15" i="2"/>
  <c r="F52" i="2"/>
  <c r="G52" i="2"/>
  <c r="P13" i="2"/>
  <c r="F50" i="2"/>
  <c r="G50" i="2"/>
  <c r="P9" i="2"/>
  <c r="G28" i="2" s="1"/>
  <c r="F46" i="2"/>
  <c r="G46" i="2"/>
  <c r="P7" i="2"/>
  <c r="G26" i="2" s="1"/>
  <c r="F44" i="2"/>
  <c r="G44" i="2"/>
  <c r="P5" i="2"/>
  <c r="G24" i="2" s="1"/>
  <c r="F42" i="2"/>
  <c r="G42" i="2"/>
  <c r="O16" i="2"/>
  <c r="E35" i="2" s="1"/>
  <c r="E53" i="2"/>
  <c r="O12" i="2"/>
  <c r="E31" i="2" s="1"/>
  <c r="E49" i="2"/>
  <c r="O8" i="2"/>
  <c r="E27" i="2" s="1"/>
  <c r="E45" i="2"/>
  <c r="O11" i="2"/>
  <c r="E30" i="2" s="1"/>
  <c r="E48" i="2"/>
  <c r="M5" i="2"/>
  <c r="C24" i="2" s="1"/>
  <c r="C42" i="2"/>
  <c r="M11" i="2"/>
  <c r="C30" i="2" s="1"/>
  <c r="C48" i="2"/>
  <c r="O17" i="2"/>
  <c r="E36" i="2" s="1"/>
  <c r="E54" i="2"/>
  <c r="O9" i="2"/>
  <c r="E28" i="2" s="1"/>
  <c r="E46" i="2"/>
  <c r="M13" i="2"/>
  <c r="C32" i="2" s="1"/>
  <c r="C50" i="2"/>
  <c r="M9" i="2"/>
  <c r="C46" i="2"/>
  <c r="M17" i="2"/>
  <c r="C36" i="2" s="1"/>
  <c r="C54" i="2"/>
  <c r="M14" i="2"/>
  <c r="C33" i="2" s="1"/>
  <c r="C51" i="2"/>
  <c r="M10" i="2"/>
  <c r="C47" i="2"/>
  <c r="M6" i="2"/>
  <c r="C25" i="2" s="1"/>
  <c r="C43" i="2"/>
  <c r="O4" i="2"/>
  <c r="E23" i="2" s="1"/>
  <c r="E41" i="2"/>
  <c r="P16" i="2"/>
  <c r="G35" i="2" s="1"/>
  <c r="F53" i="2"/>
  <c r="G53" i="2"/>
  <c r="P14" i="2"/>
  <c r="F51" i="2"/>
  <c r="G51" i="2"/>
  <c r="P12" i="2"/>
  <c r="G31" i="2" s="1"/>
  <c r="F49" i="2"/>
  <c r="G49" i="2"/>
  <c r="P10" i="2"/>
  <c r="G29" i="2" s="1"/>
  <c r="F47" i="2"/>
  <c r="G47" i="2"/>
  <c r="P8" i="2"/>
  <c r="F27" i="2" s="1"/>
  <c r="F45" i="2"/>
  <c r="G45" i="2"/>
  <c r="P6" i="2"/>
  <c r="G25" i="2" s="1"/>
  <c r="F43" i="2"/>
  <c r="G43" i="2"/>
  <c r="P4" i="2"/>
  <c r="F23" i="2" s="1"/>
  <c r="F41" i="2"/>
  <c r="G41" i="2"/>
  <c r="O14" i="2"/>
  <c r="E33" i="2" s="1"/>
  <c r="E51" i="2"/>
  <c r="O10" i="2"/>
  <c r="E29" i="2" s="1"/>
  <c r="E47" i="2"/>
  <c r="O15" i="2"/>
  <c r="E34" i="2" s="1"/>
  <c r="E52" i="2"/>
  <c r="O7" i="2"/>
  <c r="E26" i="2" s="1"/>
  <c r="E44" i="2"/>
  <c r="M15" i="2"/>
  <c r="C34" i="2" s="1"/>
  <c r="C52" i="2"/>
  <c r="M7" i="2"/>
  <c r="C26" i="2" s="1"/>
  <c r="C44" i="2"/>
  <c r="O13" i="2"/>
  <c r="E32" i="2" s="1"/>
  <c r="E50" i="2"/>
  <c r="O6" i="2"/>
  <c r="E25" i="2" s="1"/>
  <c r="E43" i="2"/>
  <c r="O5" i="2"/>
  <c r="E24" i="2" s="1"/>
  <c r="E42" i="2"/>
  <c r="D41" i="2"/>
  <c r="D54" i="2"/>
  <c r="D52" i="2"/>
  <c r="D50" i="2"/>
  <c r="D48" i="2"/>
  <c r="D46" i="2"/>
  <c r="D44" i="2"/>
  <c r="D42" i="2"/>
  <c r="D53" i="2"/>
  <c r="D51" i="2"/>
  <c r="D47" i="2"/>
  <c r="D45" i="2"/>
  <c r="D43" i="2"/>
  <c r="M12" i="2"/>
  <c r="C31" i="2" s="1"/>
  <c r="C49" i="2"/>
  <c r="P11" i="2"/>
  <c r="F48" i="2"/>
  <c r="G48" i="2"/>
  <c r="D34" i="2"/>
  <c r="G23" i="2"/>
  <c r="G34" i="2"/>
  <c r="F30" i="2"/>
  <c r="G30" i="2"/>
  <c r="D24" i="2"/>
  <c r="D23" i="2"/>
  <c r="G33" i="2"/>
  <c r="G32" i="2"/>
  <c r="D33" i="2"/>
  <c r="D32" i="2"/>
  <c r="G27" i="2"/>
  <c r="F35" i="2" l="1"/>
  <c r="F36" i="2"/>
  <c r="F31" i="2"/>
  <c r="D30" i="2"/>
  <c r="F24" i="2"/>
  <c r="F32" i="2"/>
  <c r="D26" i="2"/>
  <c r="F33" i="2"/>
  <c r="D36" i="2"/>
  <c r="D25" i="2"/>
  <c r="F25" i="2"/>
  <c r="D31" i="2"/>
  <c r="F28" i="2"/>
  <c r="F29" i="2"/>
  <c r="F26" i="2"/>
  <c r="F34" i="2"/>
  <c r="C29" i="2"/>
  <c r="D29" i="2"/>
  <c r="C28" i="2"/>
  <c r="D28" i="2"/>
  <c r="C27" i="2"/>
  <c r="D27" i="2"/>
  <c r="D35" i="2"/>
</calcChain>
</file>

<file path=xl/sharedStrings.xml><?xml version="1.0" encoding="utf-8"?>
<sst xmlns="http://schemas.openxmlformats.org/spreadsheetml/2006/main" count="65" uniqueCount="38">
  <si>
    <t>Unit ID</t>
  </si>
  <si>
    <t>case volume (surgical episodes)</t>
  </si>
  <si>
    <t>Total expected deaths</t>
  </si>
  <si>
    <t>RVB</t>
  </si>
  <si>
    <t>HSC</t>
  </si>
  <si>
    <t>GRL</t>
  </si>
  <si>
    <t>FRE</t>
  </si>
  <si>
    <t>OLS</t>
  </si>
  <si>
    <t>RHS</t>
  </si>
  <si>
    <t>BRC</t>
  </si>
  <si>
    <t>SGH</t>
  </si>
  <si>
    <t>LGI</t>
  </si>
  <si>
    <t>NHB</t>
  </si>
  <si>
    <t>GUY</t>
  </si>
  <si>
    <t>ACH</t>
  </si>
  <si>
    <t>BCH</t>
  </si>
  <si>
    <t>GOS</t>
  </si>
  <si>
    <t>actual survival</t>
  </si>
  <si>
    <t>Total actual deaths</t>
  </si>
  <si>
    <t>RAW DATA</t>
  </si>
  <si>
    <t>FROM PRAiS</t>
  </si>
  <si>
    <t>predicted survival</t>
  </si>
  <si>
    <t>lower 99.9% limit</t>
  </si>
  <si>
    <t>lower 97.5% limit</t>
  </si>
  <si>
    <t>upper 97.5% limit</t>
  </si>
  <si>
    <t>upper 99.9% limit</t>
  </si>
  <si>
    <t>Actual/ predicted survival ratio</t>
  </si>
  <si>
    <t>ratio lower 99.9% limit</t>
  </si>
  <si>
    <t>ratio lower 97.5% limit</t>
  </si>
  <si>
    <t>ratio upper 97.5% limit</t>
  </si>
  <si>
    <t>ratio upper 99.9% limit</t>
  </si>
  <si>
    <t>Lower and upper limits on observed survival</t>
  </si>
  <si>
    <t>DATA FOR BAR CHART / FUNNEL (STACKED PLOT)</t>
  </si>
  <si>
    <t>total max (1.03)</t>
  </si>
  <si>
    <t>chart label</t>
  </si>
  <si>
    <t>actual ratio for chart</t>
  </si>
  <si>
    <t>Lower and upper limits on ratio of actual/predicted survival</t>
  </si>
  <si>
    <t>DATA FOR BAR CHART / FUNNEL (STACKED PLOT) SURVIVAL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</si>
</sst>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%"/>
    <numFmt numFmtId="165" formatCode="0.000"/>
    <numFmt numFmtId="166" formatCode="0.0"/>
  </numFmts>
  <fonts count="3" x14ac:knownFonts="1">
    <font>
      <sz val="10"/>
      <name val="Arial"/>
      <family val="2"/>
    </font>
    <font>
      <sz val="10"/>
      <name val="Arial"/>
      <family val="2"/>
    </font>
    <font>
      <b/>
      <sz val="10"/>
      <color theme="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</cellStyleXfs>
  <cellXfs count="18">
    <xf numFmtId="0" fontId="0" fillId="0" borderId="0" xfId="0"/>
    <xf numFmtId="0" fontId="0" fillId="0" borderId="0" xfId="0" applyAlignment="1">
      <alignment wrapText="1"/>
    </xf>
    <xf numFmtId="0" fontId="0" fillId="2" borderId="1" xfId="0" applyFill="1" applyBorder="1"/>
    <xf numFmtId="0" fontId="2" fillId="4" borderId="1" xfId="0" applyFont="1" applyFill="1" applyBorder="1"/>
    <xf numFmtId="0" fontId="2" fillId="4" borderId="1" xfId="0" applyFont="1" applyFill="1" applyBorder="1" applyAlignment="1">
      <alignment wrapText="1"/>
    </xf>
    <xf numFmtId="0" fontId="0" fillId="2" borderId="1" xfId="0" applyFill="1" applyBorder="1" applyAlignment="1">
      <alignment wrapText="1"/>
    </xf>
    <xf numFmtId="165" fontId="0" fillId="2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wrapText="1"/>
    </xf>
    <xf numFmtId="0" fontId="2" fillId="5" borderId="1" xfId="0" applyFont="1" applyFill="1" applyBorder="1"/>
    <xf numFmtId="0" fontId="2" fillId="5" borderId="1" xfId="0" applyFont="1" applyFill="1" applyBorder="1" applyAlignment="1">
      <alignment wrapText="1"/>
    </xf>
    <xf numFmtId="0" fontId="0" fillId="6" borderId="1" xfId="0" applyFill="1" applyBorder="1"/>
    <xf numFmtId="166" fontId="0" fillId="6" borderId="1" xfId="0" applyNumberFormat="1" applyFill="1" applyBorder="1"/>
    <xf numFmtId="164" fontId="0" fillId="2" borderId="1" xfId="1" applyNumberFormat="1" applyFont="1" applyFill="1" applyBorder="1"/>
    <xf numFmtId="164" fontId="0" fillId="2" borderId="1" xfId="0" applyNumberFormat="1" applyFill="1" applyBorder="1"/>
    <xf numFmtId="0" fontId="2" fillId="5" borderId="1" xfId="0" applyFont="1" applyFill="1" applyBorder="1" applyAlignment="1">
      <alignment horizontal="center" wrapText="1"/>
    </xf>
    <xf numFmtId="0" fontId="2" fillId="5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4">
    <cellStyle name="Normal" xfId="0" builtinId="0"/>
    <cellStyle name="Normal 2" xfId="2"/>
    <cellStyle name="Normal 3" xfId="3"/>
    <cellStyle name="Percent" xfId="1" builtinId="5"/>
  </cellStyles>
  <dxfs count="0"/>
  <tableStyles count="0" defaultTableStyle="TableStyleMedium2" defaultPivotStyle="PivotStyleLight16"/>
  <colors>
    <mruColors>
      <color rgb="FF00FF00"/>
      <color rgb="FFFFFF99"/>
      <color rgb="FF777777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chartsheet" Target="chartsheets/sheet4.xml"/><Relationship Id="rId10" Type="http://schemas.microsoft.com/office/2006/relationships/vbaProject" Target="vbaProject.bin"/><Relationship Id="rId4" Type="http://schemas.openxmlformats.org/officeDocument/2006/relationships/chartsheet" Target="chartsheets/sheet3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Children's Heart Surgery 2011-2014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0.9509803921568627</c:v>
                </c:pt>
                <c:pt idx="1">
                  <c:v>0.94813278008298751</c:v>
                </c:pt>
                <c:pt idx="2">
                  <c:v>0.95360824742268047</c:v>
                </c:pt>
                <c:pt idx="3">
                  <c:v>0.95132743362831862</c:v>
                </c:pt>
                <c:pt idx="4">
                  <c:v>0.95679796696315123</c:v>
                </c:pt>
                <c:pt idx="5">
                  <c:v>0.96047904191616762</c:v>
                </c:pt>
                <c:pt idx="6">
                  <c:v>0.9550561797752809</c:v>
                </c:pt>
                <c:pt idx="7">
                  <c:v>0.9651639344262295</c:v>
                </c:pt>
                <c:pt idx="8">
                  <c:v>0.96306818181818177</c:v>
                </c:pt>
                <c:pt idx="9">
                  <c:v>0.964769647696477</c:v>
                </c:pt>
                <c:pt idx="10">
                  <c:v>0.95811518324607325</c:v>
                </c:pt>
                <c:pt idx="11">
                  <c:v>0.95598006644518274</c:v>
                </c:pt>
                <c:pt idx="12">
                  <c:v>0.95340985820391633</c:v>
                </c:pt>
                <c:pt idx="13">
                  <c:v>0.96544391281233388</c:v>
                </c:pt>
              </c:numCache>
            </c:numRef>
          </c:val>
        </c:ser>
        <c:ser>
          <c:idx val="1"/>
          <c:order val="1"/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1.4705882352941235E-2</c:v>
                </c:pt>
                <c:pt idx="1">
                  <c:v>1.0373443983402564E-2</c:v>
                </c:pt>
                <c:pt idx="2">
                  <c:v>8.5910652920961894E-3</c:v>
                </c:pt>
                <c:pt idx="3">
                  <c:v>8.8495575221239076E-3</c:v>
                </c:pt>
                <c:pt idx="4">
                  <c:v>6.3532401524777349E-3</c:v>
                </c:pt>
                <c:pt idx="5">
                  <c:v>7.1856287425150489E-3</c:v>
                </c:pt>
                <c:pt idx="6">
                  <c:v>6.741573033707815E-3</c:v>
                </c:pt>
                <c:pt idx="7">
                  <c:v>6.147540983606592E-3</c:v>
                </c:pt>
                <c:pt idx="8">
                  <c:v>5.6818181818182323E-3</c:v>
                </c:pt>
                <c:pt idx="9">
                  <c:v>5.4200542005419239E-3</c:v>
                </c:pt>
                <c:pt idx="10">
                  <c:v>6.10820244328103E-3</c:v>
                </c:pt>
                <c:pt idx="11">
                  <c:v>6.6445182724251817E-3</c:v>
                </c:pt>
                <c:pt idx="12">
                  <c:v>5.4017555705603293E-3</c:v>
                </c:pt>
                <c:pt idx="13">
                  <c:v>4.784688995215336E-3</c:v>
                </c:pt>
              </c:numCache>
            </c:numRef>
          </c:val>
        </c:ser>
        <c:ser>
          <c:idx val="2"/>
          <c:order val="2"/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3.4313725490196068E-2</c:v>
                </c:pt>
                <c:pt idx="1">
                  <c:v>2.9045643153526979E-2</c:v>
                </c:pt>
                <c:pt idx="2">
                  <c:v>2.5773195876288679E-2</c:v>
                </c:pt>
                <c:pt idx="3">
                  <c:v>2.359882005899705E-2</c:v>
                </c:pt>
                <c:pt idx="4">
                  <c:v>2.1601016518424387E-2</c:v>
                </c:pt>
                <c:pt idx="5">
                  <c:v>1.9161676646706538E-2</c:v>
                </c:pt>
                <c:pt idx="6">
                  <c:v>2.1348314606741581E-2</c:v>
                </c:pt>
                <c:pt idx="7">
                  <c:v>1.7418032786885251E-2</c:v>
                </c:pt>
                <c:pt idx="8">
                  <c:v>1.7992424242424199E-2</c:v>
                </c:pt>
                <c:pt idx="9">
                  <c:v>1.7163504968383037E-2</c:v>
                </c:pt>
                <c:pt idx="10">
                  <c:v>1.8324607329842868E-2</c:v>
                </c:pt>
                <c:pt idx="11">
                  <c:v>1.8272425249169499E-2</c:v>
                </c:pt>
                <c:pt idx="12">
                  <c:v>1.82309250506415E-2</c:v>
                </c:pt>
                <c:pt idx="13">
                  <c:v>1.3290802764486909E-2</c:v>
                </c:pt>
              </c:numCache>
            </c:numRef>
          </c:val>
        </c:ser>
        <c:ser>
          <c:idx val="3"/>
          <c:order val="3"/>
          <c:spPr>
            <a:solidFill>
              <a:schemeClr val="tx2">
                <a:lumMod val="60000"/>
                <a:lumOff val="4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</c:v>
                </c:pt>
                <c:pt idx="1">
                  <c:v>6.2240663900414717E-3</c:v>
                </c:pt>
                <c:pt idx="2">
                  <c:v>5.1546391752577136E-3</c:v>
                </c:pt>
                <c:pt idx="3">
                  <c:v>5.8997050147492347E-3</c:v>
                </c:pt>
                <c:pt idx="4">
                  <c:v>5.0825921219822545E-3</c:v>
                </c:pt>
                <c:pt idx="5">
                  <c:v>4.7904191616766623E-3</c:v>
                </c:pt>
                <c:pt idx="6">
                  <c:v>4.4943820224719877E-3</c:v>
                </c:pt>
                <c:pt idx="7">
                  <c:v>3.0737704918032405E-3</c:v>
                </c:pt>
                <c:pt idx="8">
                  <c:v>3.7878787878787845E-3</c:v>
                </c:pt>
                <c:pt idx="9">
                  <c:v>3.6133694670280603E-3</c:v>
                </c:pt>
                <c:pt idx="10">
                  <c:v>4.3630017452007674E-3</c:v>
                </c:pt>
                <c:pt idx="11">
                  <c:v>4.983388704318914E-3</c:v>
                </c:pt>
                <c:pt idx="12">
                  <c:v>4.051316677920358E-3</c:v>
                </c:pt>
                <c:pt idx="13">
                  <c:v>3.1897926634768536E-3</c:v>
                </c:pt>
              </c:numCache>
            </c:numRef>
          </c:val>
        </c:ser>
        <c:ser>
          <c:idx val="4"/>
          <c:order val="4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</c:v>
                </c:pt>
                <c:pt idx="1">
                  <c:v>6.2240663900414717E-3</c:v>
                </c:pt>
                <c:pt idx="2">
                  <c:v>6.8728522336769515E-3</c:v>
                </c:pt>
                <c:pt idx="3">
                  <c:v>1.0324483775811188E-2</c:v>
                </c:pt>
                <c:pt idx="4">
                  <c:v>1.0165184243964398E-2</c:v>
                </c:pt>
                <c:pt idx="5">
                  <c:v>8.3832335329341312E-3</c:v>
                </c:pt>
                <c:pt idx="6">
                  <c:v>1.2359550561797716E-2</c:v>
                </c:pt>
                <c:pt idx="7">
                  <c:v>8.1967213114754189E-3</c:v>
                </c:pt>
                <c:pt idx="8">
                  <c:v>9.4696969696970168E-3</c:v>
                </c:pt>
                <c:pt idx="9">
                  <c:v>9.0334236675699842E-3</c:v>
                </c:pt>
                <c:pt idx="10">
                  <c:v>1.308900523560208E-2</c:v>
                </c:pt>
                <c:pt idx="11">
                  <c:v>1.4119601328903664E-2</c:v>
                </c:pt>
                <c:pt idx="12">
                  <c:v>1.8906144496961486E-2</c:v>
                </c:pt>
                <c:pt idx="13">
                  <c:v>1.329080276448702E-2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7403904"/>
        <c:axId val="167405824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0.99019607843137258</c:v>
                </c:pt>
                <c:pt idx="1">
                  <c:v>0.98547717842323657</c:v>
                </c:pt>
                <c:pt idx="2">
                  <c:v>0.98109965635738827</c:v>
                </c:pt>
                <c:pt idx="3">
                  <c:v>0.97787610619469023</c:v>
                </c:pt>
                <c:pt idx="4">
                  <c:v>0.96442185514612455</c:v>
                </c:pt>
                <c:pt idx="5">
                  <c:v>0.97724550898203588</c:v>
                </c:pt>
                <c:pt idx="6">
                  <c:v>0.98089887640449436</c:v>
                </c:pt>
                <c:pt idx="7">
                  <c:v>0.97643442622950816</c:v>
                </c:pt>
                <c:pt idx="8">
                  <c:v>0.97821969696969702</c:v>
                </c:pt>
                <c:pt idx="9">
                  <c:v>0.98915989159891604</c:v>
                </c:pt>
                <c:pt idx="10">
                  <c:v>0.9755671902268761</c:v>
                </c:pt>
                <c:pt idx="11">
                  <c:v>0.96760797342192695</c:v>
                </c:pt>
                <c:pt idx="12">
                  <c:v>0.97974341661039843</c:v>
                </c:pt>
                <c:pt idx="13">
                  <c:v>0.98351940457203613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417728"/>
        <c:axId val="167416192"/>
      </c:scatterChart>
      <c:catAx>
        <c:axId val="16740390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7405824"/>
        <c:crosses val="autoZero"/>
        <c:auto val="1"/>
        <c:lblAlgn val="ctr"/>
        <c:lblOffset val="100"/>
        <c:noMultiLvlLbl val="0"/>
      </c:catAx>
      <c:valAx>
        <c:axId val="167405824"/>
        <c:scaling>
          <c:orientation val="minMax"/>
          <c:max val="1"/>
          <c:min val="0.9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167403904"/>
        <c:crosses val="autoZero"/>
        <c:crossBetween val="between"/>
        <c:majorUnit val="1.0000000000000002E-2"/>
        <c:minorUnit val="5.000000000000001E-3"/>
      </c:valAx>
      <c:valAx>
        <c:axId val="167416192"/>
        <c:scaling>
          <c:orientation val="minMax"/>
          <c:max val="1"/>
          <c:min val="0.92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167417728"/>
        <c:crosses val="max"/>
        <c:crossBetween val="midCat"/>
      </c:valAx>
      <c:valAx>
        <c:axId val="167417728"/>
        <c:scaling>
          <c:orientation val="minMax"/>
        </c:scaling>
        <c:delete val="1"/>
        <c:axPos val="b"/>
        <c:majorTickMark val="out"/>
        <c:minorTickMark val="none"/>
        <c:tickLblPos val="nextTo"/>
        <c:crossAx val="1674161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Paediatric Surgery 2011-2014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cat>
          <c:val>
            <c:numRef>
              <c:f>Data!$C$23:$C$36</c:f>
              <c:numCache>
                <c:formatCode>0.000</c:formatCode>
                <c:ptCount val="14"/>
                <c:pt idx="0">
                  <c:v>0.96661684105630286</c:v>
                </c:pt>
                <c:pt idx="1">
                  <c:v>0.97337593184238547</c:v>
                </c:pt>
                <c:pt idx="2">
                  <c:v>0.97711267605633811</c:v>
                </c:pt>
                <c:pt idx="3">
                  <c:v>0.97771714415643485</c:v>
                </c:pt>
                <c:pt idx="4">
                  <c:v>0.98136322168643297</c:v>
                </c:pt>
                <c:pt idx="5">
                  <c:v>0.98212098946852799</c:v>
                </c:pt>
                <c:pt idx="6">
                  <c:v>0.98152424942263283</c:v>
                </c:pt>
                <c:pt idx="7">
                  <c:v>0.98484056455828539</c:v>
                </c:pt>
                <c:pt idx="8">
                  <c:v>0.98470178156467847</c:v>
                </c:pt>
                <c:pt idx="9">
                  <c:v>0.98542166451374791</c:v>
                </c:pt>
                <c:pt idx="10">
                  <c:v>0.98369467837305136</c:v>
                </c:pt>
                <c:pt idx="11">
                  <c:v>0.9835085020934804</c:v>
                </c:pt>
                <c:pt idx="12">
                  <c:v>0.98465829846582986</c:v>
                </c:pt>
                <c:pt idx="13">
                  <c:v>0.98819176144093157</c:v>
                </c:pt>
              </c:numCache>
            </c:numRef>
          </c:val>
        </c:ser>
        <c:ser>
          <c:idx val="1"/>
          <c:order val="1"/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cat>
          <c:val>
            <c:numRef>
              <c:f>Data!$D$23:$D$36</c:f>
              <c:numCache>
                <c:formatCode>0.000</c:formatCode>
                <c:ptCount val="14"/>
                <c:pt idx="0">
                  <c:v>1.4947683109118093E-2</c:v>
                </c:pt>
                <c:pt idx="1">
                  <c:v>1.0649627263045858E-2</c:v>
                </c:pt>
                <c:pt idx="2">
                  <c:v>8.8028169014083835E-3</c:v>
                </c:pt>
                <c:pt idx="3">
                  <c:v>9.0950432014551552E-3</c:v>
                </c:pt>
                <c:pt idx="4">
                  <c:v>6.5163560536947163E-3</c:v>
                </c:pt>
                <c:pt idx="5">
                  <c:v>7.3475385745775945E-3</c:v>
                </c:pt>
                <c:pt idx="6">
                  <c:v>6.9284064665126044E-3</c:v>
                </c:pt>
                <c:pt idx="7">
                  <c:v>6.2728698379509451E-3</c:v>
                </c:pt>
                <c:pt idx="8">
                  <c:v>5.8094500387297909E-3</c:v>
                </c:pt>
                <c:pt idx="9">
                  <c:v>5.5360767669311306E-3</c:v>
                </c:pt>
                <c:pt idx="10">
                  <c:v>6.2712775488263928E-3</c:v>
                </c:pt>
                <c:pt idx="11">
                  <c:v>6.8358540545158109E-3</c:v>
                </c:pt>
                <c:pt idx="12">
                  <c:v>5.5788005578799593E-3</c:v>
                </c:pt>
                <c:pt idx="13">
                  <c:v>4.8974261304891575E-3</c:v>
                </c:pt>
              </c:numCache>
            </c:numRef>
          </c:val>
        </c:ser>
        <c:ser>
          <c:idx val="2"/>
          <c:order val="2"/>
          <c:spPr>
            <a:solidFill>
              <a:schemeClr val="bg1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cat>
          <c:val>
            <c:numRef>
              <c:f>Data!$E$23:$E$36</c:f>
              <c:numCache>
                <c:formatCode>0.000</c:formatCode>
                <c:ptCount val="14"/>
                <c:pt idx="0">
                  <c:v>3.487792725460892E-2</c:v>
                </c:pt>
                <c:pt idx="1">
                  <c:v>2.9818956336528202E-2</c:v>
                </c:pt>
                <c:pt idx="2">
                  <c:v>2.6408450704225483E-2</c:v>
                </c:pt>
                <c:pt idx="3">
                  <c:v>2.4253448537214006E-2</c:v>
                </c:pt>
                <c:pt idx="4">
                  <c:v>2.2155610582562213E-2</c:v>
                </c:pt>
                <c:pt idx="5">
                  <c:v>1.9593436198873326E-2</c:v>
                </c:pt>
                <c:pt idx="6">
                  <c:v>2.1939953810623636E-2</c:v>
                </c:pt>
                <c:pt idx="7">
                  <c:v>1.7773131207527437E-2</c:v>
                </c:pt>
                <c:pt idx="8">
                  <c:v>1.8396591789310413E-2</c:v>
                </c:pt>
                <c:pt idx="9">
                  <c:v>1.7530909761948599E-2</c:v>
                </c:pt>
                <c:pt idx="10">
                  <c:v>1.8813832646479178E-2</c:v>
                </c:pt>
                <c:pt idx="11">
                  <c:v>1.8798598649918952E-2</c:v>
                </c:pt>
                <c:pt idx="12">
                  <c:v>1.8828451882845321E-2</c:v>
                </c:pt>
                <c:pt idx="13">
                  <c:v>1.3603961473581005E-2</c:v>
                </c:pt>
              </c:numCache>
            </c:numRef>
          </c:val>
        </c:ser>
        <c:ser>
          <c:idx val="3"/>
          <c:order val="3"/>
          <c:spPr>
            <a:solidFill>
              <a:schemeClr val="accent5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cat>
          <c:val>
            <c:numRef>
              <c:f>Data!$F$23:$F$36</c:f>
              <c:numCache>
                <c:formatCode>0.000</c:formatCode>
                <c:ptCount val="14"/>
                <c:pt idx="0">
                  <c:v>0</c:v>
                </c:pt>
                <c:pt idx="1">
                  <c:v>6.389776357827559E-3</c:v>
                </c:pt>
                <c:pt idx="2">
                  <c:v>5.2816901408450079E-3</c:v>
                </c:pt>
                <c:pt idx="3">
                  <c:v>6.0633621343033628E-3</c:v>
                </c:pt>
                <c:pt idx="4">
                  <c:v>5.2130848429559062E-3</c:v>
                </c:pt>
                <c:pt idx="5">
                  <c:v>4.8983590497184704E-3</c:v>
                </c:pt>
                <c:pt idx="6">
                  <c:v>4.6189376443417363E-3</c:v>
                </c:pt>
                <c:pt idx="7">
                  <c:v>3.136434918975306E-3</c:v>
                </c:pt>
                <c:pt idx="8">
                  <c:v>3.8729666924866013E-3</c:v>
                </c:pt>
                <c:pt idx="9">
                  <c:v>3.6907178446208277E-3</c:v>
                </c:pt>
                <c:pt idx="10">
                  <c:v>4.4794839634474393E-3</c:v>
                </c:pt>
                <c:pt idx="11">
                  <c:v>5.1268905408869969E-3</c:v>
                </c:pt>
                <c:pt idx="12">
                  <c:v>4.1841004184099972E-3</c:v>
                </c:pt>
                <c:pt idx="13">
                  <c:v>3.2649507536595124E-3</c:v>
                </c:pt>
              </c:numCache>
            </c:numRef>
          </c:val>
        </c:ser>
        <c:ser>
          <c:idx val="4"/>
          <c:order val="4"/>
          <c:spPr>
            <a:solidFill>
              <a:schemeClr val="accent5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cat>
          <c:val>
            <c:numRef>
              <c:f>Data!$G$23:$G$36</c:f>
              <c:numCache>
                <c:formatCode>0.000</c:formatCode>
                <c:ptCount val="14"/>
                <c:pt idx="0">
                  <c:v>1.3557548579970158E-2</c:v>
                </c:pt>
                <c:pt idx="1">
                  <c:v>9.7657082002129414E-3</c:v>
                </c:pt>
                <c:pt idx="2">
                  <c:v>1.2394366197183038E-2</c:v>
                </c:pt>
                <c:pt idx="3">
                  <c:v>1.2871001970592655E-2</c:v>
                </c:pt>
                <c:pt idx="4">
                  <c:v>1.4751726834354217E-2</c:v>
                </c:pt>
                <c:pt idx="5">
                  <c:v>1.6039676708302641E-2</c:v>
                </c:pt>
                <c:pt idx="6">
                  <c:v>1.4988452655889217E-2</c:v>
                </c:pt>
                <c:pt idx="7">
                  <c:v>1.7976999477260946E-2</c:v>
                </c:pt>
                <c:pt idx="8">
                  <c:v>1.7219209914794753E-2</c:v>
                </c:pt>
                <c:pt idx="9">
                  <c:v>1.7820631112751562E-2</c:v>
                </c:pt>
                <c:pt idx="10">
                  <c:v>1.674072746819566E-2</c:v>
                </c:pt>
                <c:pt idx="11">
                  <c:v>1.573015466119787E-2</c:v>
                </c:pt>
                <c:pt idx="12">
                  <c:v>1.6750348675034887E-2</c:v>
                </c:pt>
                <c:pt idx="13">
                  <c:v>2.004190020133878E-2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6973824"/>
        <c:axId val="166975744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xVal>
          <c:yVal>
            <c:numRef>
              <c:f>Data!$H$23:$H$36</c:f>
              <c:numCache>
                <c:formatCode>0.000</c:formatCode>
                <c:ptCount val="14"/>
                <c:pt idx="0">
                  <c:v>1.0064773293472844</c:v>
                </c:pt>
                <c:pt idx="1">
                  <c:v>1.0117145899893505</c:v>
                </c:pt>
                <c:pt idx="2">
                  <c:v>1.005281690140845</c:v>
                </c:pt>
                <c:pt idx="3">
                  <c:v>1.0050022737608004</c:v>
                </c:pt>
                <c:pt idx="4">
                  <c:v>0.98918284895086672</c:v>
                </c:pt>
                <c:pt idx="5">
                  <c:v>0.9992652461425422</c:v>
                </c:pt>
                <c:pt idx="6">
                  <c:v>1.0080831408775981</c:v>
                </c:pt>
                <c:pt idx="7">
                  <c:v>0.99634082592786199</c:v>
                </c:pt>
                <c:pt idx="8">
                  <c:v>1.0001936483346243</c:v>
                </c:pt>
                <c:pt idx="9">
                  <c:v>1.0103340099649383</c:v>
                </c:pt>
                <c:pt idx="10">
                  <c:v>1.0016126142268411</c:v>
                </c:pt>
                <c:pt idx="11">
                  <c:v>0.99547124668888332</c:v>
                </c:pt>
                <c:pt idx="12">
                  <c:v>1.0118549511854953</c:v>
                </c:pt>
                <c:pt idx="13">
                  <c:v>1.0066931490450017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118720"/>
        <c:axId val="167117184"/>
      </c:scatterChart>
      <c:catAx>
        <c:axId val="166973824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6975744"/>
        <c:crosses val="autoZero"/>
        <c:auto val="1"/>
        <c:lblAlgn val="ctr"/>
        <c:lblOffset val="100"/>
        <c:noMultiLvlLbl val="0"/>
      </c:catAx>
      <c:valAx>
        <c:axId val="166975744"/>
        <c:scaling>
          <c:orientation val="minMax"/>
          <c:max val="1.03"/>
          <c:min val="0.97000000000000008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Survival ratio (actual/predicted)</a:t>
                </a:r>
              </a:p>
            </c:rich>
          </c:tx>
          <c:layout/>
          <c:overlay val="0"/>
        </c:title>
        <c:numFmt formatCode="0.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6973824"/>
        <c:crosses val="autoZero"/>
        <c:crossBetween val="between"/>
      </c:valAx>
      <c:valAx>
        <c:axId val="167117184"/>
        <c:scaling>
          <c:orientation val="minMax"/>
          <c:max val="1.03"/>
          <c:min val="0.97000000000000008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167118720"/>
        <c:crosses val="max"/>
        <c:crossBetween val="midCat"/>
      </c:valAx>
      <c:valAx>
        <c:axId val="167118720"/>
        <c:scaling>
          <c:orientation val="minMax"/>
        </c:scaling>
        <c:delete val="1"/>
        <c:axPos val="b"/>
        <c:majorTickMark val="out"/>
        <c:minorTickMark val="none"/>
        <c:tickLblPos val="nextTo"/>
        <c:crossAx val="1671171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Paediatric Surgery 2011-2014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0.9509803921568627</c:v>
                </c:pt>
                <c:pt idx="1">
                  <c:v>0.94813278008298751</c:v>
                </c:pt>
                <c:pt idx="2">
                  <c:v>0.95360824742268047</c:v>
                </c:pt>
                <c:pt idx="3">
                  <c:v>0.95132743362831862</c:v>
                </c:pt>
                <c:pt idx="4">
                  <c:v>0.95679796696315123</c:v>
                </c:pt>
                <c:pt idx="5">
                  <c:v>0.96047904191616762</c:v>
                </c:pt>
                <c:pt idx="6">
                  <c:v>0.9550561797752809</c:v>
                </c:pt>
                <c:pt idx="7">
                  <c:v>0.9651639344262295</c:v>
                </c:pt>
                <c:pt idx="8">
                  <c:v>0.96306818181818177</c:v>
                </c:pt>
                <c:pt idx="9">
                  <c:v>0.964769647696477</c:v>
                </c:pt>
                <c:pt idx="10">
                  <c:v>0.95811518324607325</c:v>
                </c:pt>
                <c:pt idx="11">
                  <c:v>0.95598006644518274</c:v>
                </c:pt>
                <c:pt idx="12">
                  <c:v>0.95340985820391633</c:v>
                </c:pt>
                <c:pt idx="13">
                  <c:v>0.96544391281233388</c:v>
                </c:pt>
              </c:numCache>
            </c:numRef>
          </c:val>
        </c:ser>
        <c:ser>
          <c:idx val="1"/>
          <c:order val="1"/>
          <c:spPr>
            <a:solidFill>
              <a:schemeClr val="bg1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1.4705882352941235E-2</c:v>
                </c:pt>
                <c:pt idx="1">
                  <c:v>1.0373443983402564E-2</c:v>
                </c:pt>
                <c:pt idx="2">
                  <c:v>8.5910652920961894E-3</c:v>
                </c:pt>
                <c:pt idx="3">
                  <c:v>8.8495575221239076E-3</c:v>
                </c:pt>
                <c:pt idx="4">
                  <c:v>6.3532401524777349E-3</c:v>
                </c:pt>
                <c:pt idx="5">
                  <c:v>7.1856287425150489E-3</c:v>
                </c:pt>
                <c:pt idx="6">
                  <c:v>6.741573033707815E-3</c:v>
                </c:pt>
                <c:pt idx="7">
                  <c:v>6.147540983606592E-3</c:v>
                </c:pt>
                <c:pt idx="8">
                  <c:v>5.6818181818182323E-3</c:v>
                </c:pt>
                <c:pt idx="9">
                  <c:v>5.4200542005419239E-3</c:v>
                </c:pt>
                <c:pt idx="10">
                  <c:v>6.10820244328103E-3</c:v>
                </c:pt>
                <c:pt idx="11">
                  <c:v>6.6445182724251817E-3</c:v>
                </c:pt>
                <c:pt idx="12">
                  <c:v>5.4017555705603293E-3</c:v>
                </c:pt>
                <c:pt idx="13">
                  <c:v>4.784688995215336E-3</c:v>
                </c:pt>
              </c:numCache>
            </c:numRef>
          </c:val>
        </c:ser>
        <c:ser>
          <c:idx val="2"/>
          <c:order val="2"/>
          <c:spPr>
            <a:solidFill>
              <a:schemeClr val="bg1"/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3.4313725490196068E-2</c:v>
                </c:pt>
                <c:pt idx="1">
                  <c:v>2.9045643153526979E-2</c:v>
                </c:pt>
                <c:pt idx="2">
                  <c:v>2.5773195876288679E-2</c:v>
                </c:pt>
                <c:pt idx="3">
                  <c:v>2.359882005899705E-2</c:v>
                </c:pt>
                <c:pt idx="4">
                  <c:v>2.1601016518424387E-2</c:v>
                </c:pt>
                <c:pt idx="5">
                  <c:v>1.9161676646706538E-2</c:v>
                </c:pt>
                <c:pt idx="6">
                  <c:v>2.1348314606741581E-2</c:v>
                </c:pt>
                <c:pt idx="7">
                  <c:v>1.7418032786885251E-2</c:v>
                </c:pt>
                <c:pt idx="8">
                  <c:v>1.7992424242424199E-2</c:v>
                </c:pt>
                <c:pt idx="9">
                  <c:v>1.7163504968383037E-2</c:v>
                </c:pt>
                <c:pt idx="10">
                  <c:v>1.8324607329842868E-2</c:v>
                </c:pt>
                <c:pt idx="11">
                  <c:v>1.8272425249169499E-2</c:v>
                </c:pt>
                <c:pt idx="12">
                  <c:v>1.82309250506415E-2</c:v>
                </c:pt>
                <c:pt idx="13">
                  <c:v>1.3290802764486909E-2</c:v>
                </c:pt>
              </c:numCache>
            </c:numRef>
          </c:val>
        </c:ser>
        <c:ser>
          <c:idx val="3"/>
          <c:order val="3"/>
          <c:spPr>
            <a:pattFill prst="pct70">
              <a:fgClr>
                <a:schemeClr val="bg1">
                  <a:lumMod val="75000"/>
                </a:schemeClr>
              </a:fgClr>
              <a:bgClr>
                <a:schemeClr val="bg1"/>
              </a:bgClr>
            </a:patt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</c:v>
                </c:pt>
                <c:pt idx="1">
                  <c:v>6.2240663900414717E-3</c:v>
                </c:pt>
                <c:pt idx="2">
                  <c:v>5.1546391752577136E-3</c:v>
                </c:pt>
                <c:pt idx="3">
                  <c:v>5.8997050147492347E-3</c:v>
                </c:pt>
                <c:pt idx="4">
                  <c:v>5.0825921219822545E-3</c:v>
                </c:pt>
                <c:pt idx="5">
                  <c:v>4.7904191616766623E-3</c:v>
                </c:pt>
                <c:pt idx="6">
                  <c:v>4.4943820224719877E-3</c:v>
                </c:pt>
                <c:pt idx="7">
                  <c:v>3.0737704918032405E-3</c:v>
                </c:pt>
                <c:pt idx="8">
                  <c:v>3.7878787878787845E-3</c:v>
                </c:pt>
                <c:pt idx="9">
                  <c:v>3.6133694670280603E-3</c:v>
                </c:pt>
                <c:pt idx="10">
                  <c:v>4.3630017452007674E-3</c:v>
                </c:pt>
                <c:pt idx="11">
                  <c:v>4.983388704318914E-3</c:v>
                </c:pt>
                <c:pt idx="12">
                  <c:v>4.051316677920358E-3</c:v>
                </c:pt>
                <c:pt idx="13">
                  <c:v>3.1897926634768536E-3</c:v>
                </c:pt>
              </c:numCache>
            </c:numRef>
          </c:val>
        </c:ser>
        <c:ser>
          <c:idx val="4"/>
          <c:order val="4"/>
          <c:spPr>
            <a:solidFill>
              <a:schemeClr val="accent5">
                <a:lumMod val="75000"/>
              </a:schemeClr>
            </a:solidFill>
            <a:ln>
              <a:solidFill>
                <a:schemeClr val="tx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</c:v>
                </c:pt>
                <c:pt idx="1">
                  <c:v>6.2240663900414717E-3</c:v>
                </c:pt>
                <c:pt idx="2">
                  <c:v>6.8728522336769515E-3</c:v>
                </c:pt>
                <c:pt idx="3">
                  <c:v>1.0324483775811188E-2</c:v>
                </c:pt>
                <c:pt idx="4">
                  <c:v>1.0165184243964398E-2</c:v>
                </c:pt>
                <c:pt idx="5">
                  <c:v>8.3832335329341312E-3</c:v>
                </c:pt>
                <c:pt idx="6">
                  <c:v>1.2359550561797716E-2</c:v>
                </c:pt>
                <c:pt idx="7">
                  <c:v>8.1967213114754189E-3</c:v>
                </c:pt>
                <c:pt idx="8">
                  <c:v>9.4696969696970168E-3</c:v>
                </c:pt>
                <c:pt idx="9">
                  <c:v>9.0334236675699842E-3</c:v>
                </c:pt>
                <c:pt idx="10">
                  <c:v>1.308900523560208E-2</c:v>
                </c:pt>
                <c:pt idx="11">
                  <c:v>1.4119601328903664E-2</c:v>
                </c:pt>
                <c:pt idx="12">
                  <c:v>1.8906144496961486E-2</c:v>
                </c:pt>
                <c:pt idx="13">
                  <c:v>1.329080276448702E-2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7174912"/>
        <c:axId val="167176832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8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0.99019607843137258</c:v>
                </c:pt>
                <c:pt idx="1">
                  <c:v>0.98547717842323657</c:v>
                </c:pt>
                <c:pt idx="2">
                  <c:v>0.98109965635738827</c:v>
                </c:pt>
                <c:pt idx="3">
                  <c:v>0.97787610619469023</c:v>
                </c:pt>
                <c:pt idx="4">
                  <c:v>0.96442185514612455</c:v>
                </c:pt>
                <c:pt idx="5">
                  <c:v>0.97724550898203588</c:v>
                </c:pt>
                <c:pt idx="6">
                  <c:v>0.98089887640449436</c:v>
                </c:pt>
                <c:pt idx="7">
                  <c:v>0.97643442622950816</c:v>
                </c:pt>
                <c:pt idx="8">
                  <c:v>0.97821969696969702</c:v>
                </c:pt>
                <c:pt idx="9">
                  <c:v>0.98915989159891604</c:v>
                </c:pt>
                <c:pt idx="10">
                  <c:v>0.9755671902268761</c:v>
                </c:pt>
                <c:pt idx="11">
                  <c:v>0.96760797342192695</c:v>
                </c:pt>
                <c:pt idx="12">
                  <c:v>0.97974341661039843</c:v>
                </c:pt>
                <c:pt idx="13">
                  <c:v>0.98351940457203613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192832"/>
        <c:axId val="167191296"/>
      </c:scatterChart>
      <c:catAx>
        <c:axId val="1671749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7176832"/>
        <c:crosses val="autoZero"/>
        <c:auto val="1"/>
        <c:lblAlgn val="ctr"/>
        <c:lblOffset val="100"/>
        <c:noMultiLvlLbl val="0"/>
      </c:catAx>
      <c:valAx>
        <c:axId val="167176832"/>
        <c:scaling>
          <c:orientation val="minMax"/>
          <c:max val="1"/>
          <c:min val="0.92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167174912"/>
        <c:crosses val="autoZero"/>
        <c:crossBetween val="between"/>
        <c:majorUnit val="1.0000000000000002E-2"/>
        <c:minorUnit val="5.000000000000001E-3"/>
      </c:valAx>
      <c:valAx>
        <c:axId val="167191296"/>
        <c:scaling>
          <c:orientation val="minMax"/>
          <c:max val="1"/>
          <c:min val="0.92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167192832"/>
        <c:crosses val="max"/>
        <c:crossBetween val="midCat"/>
      </c:valAx>
      <c:valAx>
        <c:axId val="167192832"/>
        <c:scaling>
          <c:orientation val="minMax"/>
        </c:scaling>
        <c:delete val="1"/>
        <c:axPos val="b"/>
        <c:majorTickMark val="out"/>
        <c:minorTickMark val="none"/>
        <c:tickLblPos val="nextTo"/>
        <c:crossAx val="16719129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GB"/>
              <a:t>Children's Heart Surgery 2011-2014</a:t>
            </a: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cat>
          <c:val>
            <c:numRef>
              <c:f>Data!$C$41:$C$54</c:f>
              <c:numCache>
                <c:formatCode>0.000</c:formatCode>
                <c:ptCount val="14"/>
                <c:pt idx="0">
                  <c:v>0.9509803921568627</c:v>
                </c:pt>
                <c:pt idx="1">
                  <c:v>0.94813278008298751</c:v>
                </c:pt>
                <c:pt idx="2">
                  <c:v>0.95360824742268047</c:v>
                </c:pt>
                <c:pt idx="3">
                  <c:v>0.95132743362831862</c:v>
                </c:pt>
                <c:pt idx="4">
                  <c:v>0.95679796696315123</c:v>
                </c:pt>
                <c:pt idx="5">
                  <c:v>0.96047904191616762</c:v>
                </c:pt>
                <c:pt idx="6">
                  <c:v>0.9550561797752809</c:v>
                </c:pt>
                <c:pt idx="7">
                  <c:v>0.9651639344262295</c:v>
                </c:pt>
                <c:pt idx="8">
                  <c:v>0.96306818181818177</c:v>
                </c:pt>
                <c:pt idx="9">
                  <c:v>0.964769647696477</c:v>
                </c:pt>
                <c:pt idx="10">
                  <c:v>0.95811518324607325</c:v>
                </c:pt>
                <c:pt idx="11">
                  <c:v>0.95598006644518274</c:v>
                </c:pt>
                <c:pt idx="12">
                  <c:v>0.95340985820391633</c:v>
                </c:pt>
                <c:pt idx="13">
                  <c:v>0.96544391281233388</c:v>
                </c:pt>
              </c:numCache>
            </c:numRef>
          </c:val>
        </c:ser>
        <c:ser>
          <c:idx val="1"/>
          <c:order val="1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cat>
          <c:val>
            <c:numRef>
              <c:f>Data!$D$41:$D$54</c:f>
              <c:numCache>
                <c:formatCode>0.000</c:formatCode>
                <c:ptCount val="14"/>
                <c:pt idx="0">
                  <c:v>1.4705882352941235E-2</c:v>
                </c:pt>
                <c:pt idx="1">
                  <c:v>1.0373443983402564E-2</c:v>
                </c:pt>
                <c:pt idx="2">
                  <c:v>8.5910652920961894E-3</c:v>
                </c:pt>
                <c:pt idx="3">
                  <c:v>8.8495575221239076E-3</c:v>
                </c:pt>
                <c:pt idx="4">
                  <c:v>6.3532401524777349E-3</c:v>
                </c:pt>
                <c:pt idx="5">
                  <c:v>7.1856287425150489E-3</c:v>
                </c:pt>
                <c:pt idx="6">
                  <c:v>6.741573033707815E-3</c:v>
                </c:pt>
                <c:pt idx="7">
                  <c:v>6.147540983606592E-3</c:v>
                </c:pt>
                <c:pt idx="8">
                  <c:v>5.6818181818182323E-3</c:v>
                </c:pt>
                <c:pt idx="9">
                  <c:v>5.4200542005419239E-3</c:v>
                </c:pt>
                <c:pt idx="10">
                  <c:v>6.10820244328103E-3</c:v>
                </c:pt>
                <c:pt idx="11">
                  <c:v>6.6445182724251817E-3</c:v>
                </c:pt>
                <c:pt idx="12">
                  <c:v>5.4017555705603293E-3</c:v>
                </c:pt>
                <c:pt idx="13">
                  <c:v>4.784688995215336E-3</c:v>
                </c:pt>
              </c:numCache>
            </c:numRef>
          </c:val>
        </c:ser>
        <c:ser>
          <c:idx val="2"/>
          <c:order val="2"/>
          <c:spPr>
            <a:solidFill>
              <a:schemeClr val="tx2">
                <a:lumMod val="40000"/>
                <a:lumOff val="60000"/>
              </a:schemeClr>
            </a:solidFill>
            <a:ln>
              <a:noFill/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cat>
          <c:val>
            <c:numRef>
              <c:f>Data!$E$41:$E$54</c:f>
              <c:numCache>
                <c:formatCode>0.000</c:formatCode>
                <c:ptCount val="14"/>
                <c:pt idx="0">
                  <c:v>3.4313725490196068E-2</c:v>
                </c:pt>
                <c:pt idx="1">
                  <c:v>2.9045643153526979E-2</c:v>
                </c:pt>
                <c:pt idx="2">
                  <c:v>2.5773195876288679E-2</c:v>
                </c:pt>
                <c:pt idx="3">
                  <c:v>2.359882005899705E-2</c:v>
                </c:pt>
                <c:pt idx="4">
                  <c:v>2.1601016518424387E-2</c:v>
                </c:pt>
                <c:pt idx="5">
                  <c:v>1.9161676646706538E-2</c:v>
                </c:pt>
                <c:pt idx="6">
                  <c:v>2.1348314606741581E-2</c:v>
                </c:pt>
                <c:pt idx="7">
                  <c:v>1.7418032786885251E-2</c:v>
                </c:pt>
                <c:pt idx="8">
                  <c:v>1.7992424242424199E-2</c:v>
                </c:pt>
                <c:pt idx="9">
                  <c:v>1.7163504968383037E-2</c:v>
                </c:pt>
                <c:pt idx="10">
                  <c:v>1.8324607329842868E-2</c:v>
                </c:pt>
                <c:pt idx="11">
                  <c:v>1.8272425249169499E-2</c:v>
                </c:pt>
                <c:pt idx="12">
                  <c:v>1.82309250506415E-2</c:v>
                </c:pt>
                <c:pt idx="13">
                  <c:v>1.3290802764486909E-2</c:v>
                </c:pt>
              </c:numCache>
            </c:numRef>
          </c:val>
        </c:ser>
        <c:ser>
          <c:idx val="3"/>
          <c:order val="3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cat>
          <c:val>
            <c:numRef>
              <c:f>Data!$F$41:$F$54</c:f>
              <c:numCache>
                <c:formatCode>0.000</c:formatCode>
                <c:ptCount val="14"/>
                <c:pt idx="0">
                  <c:v>0</c:v>
                </c:pt>
                <c:pt idx="1">
                  <c:v>6.2240663900414717E-3</c:v>
                </c:pt>
                <c:pt idx="2">
                  <c:v>5.1546391752577136E-3</c:v>
                </c:pt>
                <c:pt idx="3">
                  <c:v>5.8997050147492347E-3</c:v>
                </c:pt>
                <c:pt idx="4">
                  <c:v>5.0825921219822545E-3</c:v>
                </c:pt>
                <c:pt idx="5">
                  <c:v>4.7904191616766623E-3</c:v>
                </c:pt>
                <c:pt idx="6">
                  <c:v>4.4943820224719877E-3</c:v>
                </c:pt>
                <c:pt idx="7">
                  <c:v>3.0737704918032405E-3</c:v>
                </c:pt>
                <c:pt idx="8">
                  <c:v>3.7878787878787845E-3</c:v>
                </c:pt>
                <c:pt idx="9">
                  <c:v>3.6133694670280603E-3</c:v>
                </c:pt>
                <c:pt idx="10">
                  <c:v>4.3630017452007674E-3</c:v>
                </c:pt>
                <c:pt idx="11">
                  <c:v>4.983388704318914E-3</c:v>
                </c:pt>
                <c:pt idx="12">
                  <c:v>4.051316677920358E-3</c:v>
                </c:pt>
                <c:pt idx="13">
                  <c:v>3.1897926634768536E-3</c:v>
                </c:pt>
              </c:numCache>
            </c:numRef>
          </c:val>
        </c:ser>
        <c:ser>
          <c:idx val="4"/>
          <c:order val="4"/>
          <c:spPr>
            <a:solidFill>
              <a:schemeClr val="bg1"/>
            </a:solidFill>
            <a:ln>
              <a:solidFill>
                <a:schemeClr val="bg1"/>
              </a:solidFill>
            </a:ln>
          </c:spPr>
          <c:invertIfNegative val="0"/>
          <c:cat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cat>
          <c:val>
            <c:numRef>
              <c:f>Data!$G$41:$G$54</c:f>
              <c:numCache>
                <c:formatCode>0.000</c:formatCode>
                <c:ptCount val="14"/>
                <c:pt idx="0">
                  <c:v>0</c:v>
                </c:pt>
                <c:pt idx="1">
                  <c:v>6.2240663900414717E-3</c:v>
                </c:pt>
                <c:pt idx="2">
                  <c:v>6.8728522336769515E-3</c:v>
                </c:pt>
                <c:pt idx="3">
                  <c:v>1.0324483775811188E-2</c:v>
                </c:pt>
                <c:pt idx="4">
                  <c:v>1.0165184243964398E-2</c:v>
                </c:pt>
                <c:pt idx="5">
                  <c:v>8.3832335329341312E-3</c:v>
                </c:pt>
                <c:pt idx="6">
                  <c:v>1.2359550561797716E-2</c:v>
                </c:pt>
                <c:pt idx="7">
                  <c:v>8.1967213114754189E-3</c:v>
                </c:pt>
                <c:pt idx="8">
                  <c:v>9.4696969696970168E-3</c:v>
                </c:pt>
                <c:pt idx="9">
                  <c:v>9.0334236675699842E-3</c:v>
                </c:pt>
                <c:pt idx="10">
                  <c:v>1.308900523560208E-2</c:v>
                </c:pt>
                <c:pt idx="11">
                  <c:v>1.4119601328903664E-2</c:v>
                </c:pt>
                <c:pt idx="12">
                  <c:v>1.8906144496961486E-2</c:v>
                </c:pt>
                <c:pt idx="13">
                  <c:v>1.329080276448702E-2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overlap val="100"/>
        <c:axId val="167278080"/>
        <c:axId val="167280000"/>
      </c:barChart>
      <c:scatterChart>
        <c:scatterStyle val="lineMarker"/>
        <c:varyColors val="0"/>
        <c:ser>
          <c:idx val="5"/>
          <c:order val="5"/>
          <c:spPr>
            <a:ln w="28575">
              <a:noFill/>
            </a:ln>
          </c:spPr>
          <c:marker>
            <c:symbol val="circle"/>
            <c:size val="2"/>
            <c:spPr>
              <a:solidFill>
                <a:schemeClr val="tx2">
                  <a:lumMod val="75000"/>
                </a:schemeClr>
              </a:solidFill>
              <a:ln>
                <a:solidFill>
                  <a:schemeClr val="tx2">
                    <a:lumMod val="75000"/>
                  </a:schemeClr>
                </a:solidFill>
              </a:ln>
            </c:spPr>
          </c:marker>
          <c:xVal>
            <c:strRef>
              <c:f>Data!$I$23:$I$36</c:f>
              <c:strCache>
                <c:ptCount val="14"/>
                <c:pt idx="0">
                  <c:v>RVB (204)</c:v>
                </c:pt>
                <c:pt idx="1">
                  <c:v>HSC (482)</c:v>
                </c:pt>
                <c:pt idx="2">
                  <c:v>GRL (582)</c:v>
                </c:pt>
                <c:pt idx="3">
                  <c:v>FRE (678)</c:v>
                </c:pt>
                <c:pt idx="4">
                  <c:v>RHS (787)</c:v>
                </c:pt>
                <c:pt idx="5">
                  <c:v>BRC (835)</c:v>
                </c:pt>
                <c:pt idx="6">
                  <c:v>SGH (890)</c:v>
                </c:pt>
                <c:pt idx="7">
                  <c:v>LGI (976)</c:v>
                </c:pt>
                <c:pt idx="8">
                  <c:v>OLS (1056)</c:v>
                </c:pt>
                <c:pt idx="9">
                  <c:v>NHB (1107)</c:v>
                </c:pt>
                <c:pt idx="10">
                  <c:v>ACH (1146)</c:v>
                </c:pt>
                <c:pt idx="11">
                  <c:v>GUY (1204)</c:v>
                </c:pt>
                <c:pt idx="12">
                  <c:v>BCH (1481)</c:v>
                </c:pt>
                <c:pt idx="13">
                  <c:v>GOS (1881)</c:v>
                </c:pt>
              </c:strCache>
            </c:strRef>
          </c:xVal>
          <c:yVal>
            <c:numRef>
              <c:f>Data!$H$41:$H$54</c:f>
              <c:numCache>
                <c:formatCode>0.000</c:formatCode>
                <c:ptCount val="14"/>
                <c:pt idx="0">
                  <c:v>0.99019607843137258</c:v>
                </c:pt>
                <c:pt idx="1">
                  <c:v>0.98547717842323657</c:v>
                </c:pt>
                <c:pt idx="2">
                  <c:v>0.98109965635738827</c:v>
                </c:pt>
                <c:pt idx="3">
                  <c:v>0.97787610619469023</c:v>
                </c:pt>
                <c:pt idx="4">
                  <c:v>0.96442185514612455</c:v>
                </c:pt>
                <c:pt idx="5">
                  <c:v>0.97724550898203588</c:v>
                </c:pt>
                <c:pt idx="6">
                  <c:v>0.98089887640449436</c:v>
                </c:pt>
                <c:pt idx="7">
                  <c:v>0.97643442622950816</c:v>
                </c:pt>
                <c:pt idx="8">
                  <c:v>0.97821969696969702</c:v>
                </c:pt>
                <c:pt idx="9">
                  <c:v>0.98915989159891604</c:v>
                </c:pt>
                <c:pt idx="10">
                  <c:v>0.9755671902268761</c:v>
                </c:pt>
                <c:pt idx="11">
                  <c:v>0.96760797342192695</c:v>
                </c:pt>
                <c:pt idx="12">
                  <c:v>0.97974341661039843</c:v>
                </c:pt>
                <c:pt idx="13">
                  <c:v>0.98351940457203613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83712"/>
        <c:axId val="167282176"/>
      </c:scatterChart>
      <c:catAx>
        <c:axId val="167278080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167280000"/>
        <c:crosses val="autoZero"/>
        <c:auto val="1"/>
        <c:lblAlgn val="ctr"/>
        <c:lblOffset val="100"/>
        <c:noMultiLvlLbl val="0"/>
      </c:catAx>
      <c:valAx>
        <c:axId val="167280000"/>
        <c:scaling>
          <c:orientation val="minMax"/>
          <c:max val="1"/>
          <c:min val="0.5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Observed surviva rate (%)l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out"/>
        <c:tickLblPos val="nextTo"/>
        <c:spPr>
          <a:ln>
            <a:solidFill>
              <a:schemeClr val="tx1"/>
            </a:solidFill>
          </a:ln>
        </c:spPr>
        <c:crossAx val="167278080"/>
        <c:crosses val="autoZero"/>
        <c:crossBetween val="between"/>
        <c:majorUnit val="0.1"/>
        <c:minorUnit val="5.000000000000001E-2"/>
      </c:valAx>
      <c:valAx>
        <c:axId val="167282176"/>
        <c:scaling>
          <c:orientation val="minMax"/>
          <c:max val="1"/>
          <c:min val="0.5"/>
        </c:scaling>
        <c:delete val="0"/>
        <c:axPos val="r"/>
        <c:numFmt formatCode="0.000" sourceLinked="1"/>
        <c:majorTickMark val="none"/>
        <c:minorTickMark val="none"/>
        <c:tickLblPos val="none"/>
        <c:spPr>
          <a:ln>
            <a:noFill/>
          </a:ln>
        </c:spPr>
        <c:crossAx val="167283712"/>
        <c:crosses val="max"/>
        <c:crossBetween val="midCat"/>
      </c:valAx>
      <c:valAx>
        <c:axId val="167283712"/>
        <c:scaling>
          <c:orientation val="minMax"/>
        </c:scaling>
        <c:delete val="1"/>
        <c:axPos val="b"/>
        <c:majorTickMark val="out"/>
        <c:minorTickMark val="none"/>
        <c:tickLblPos val="nextTo"/>
        <c:crossAx val="16728217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txPr>
    <a:bodyPr/>
    <a:lstStyle/>
    <a:p>
      <a:pPr>
        <a:defRPr sz="1400"/>
      </a:pPr>
      <a:endParaRPr lang="en-US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7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90" workbookViewId="0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11</xdr:col>
      <xdr:colOff>63500</xdr:colOff>
      <xdr:row>20</xdr:row>
      <xdr:rowOff>105833</xdr:rowOff>
    </xdr:from>
    <xdr:ext cx="4762500" cy="1595052"/>
    <xdr:sp macro="" textlink="">
      <xdr:nvSpPr>
        <xdr:cNvPr id="3" name="TextBox 2"/>
        <xdr:cNvSpPr txBox="1"/>
      </xdr:nvSpPr>
      <xdr:spPr>
        <a:xfrm>
          <a:off x="7694083" y="3947583"/>
          <a:ext cx="4762500" cy="1595052"/>
        </a:xfrm>
        <a:prstGeom prst="rect">
          <a:avLst/>
        </a:prstGeom>
        <a:solidFill>
          <a:srgbClr val="7030A0"/>
        </a:solidFill>
        <a:ln w="28575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600" b="1">
              <a:solidFill>
                <a:schemeClr val="bg1"/>
              </a:solidFill>
            </a:rPr>
            <a:t>To experiment with different graphical outputs change values in the yellow cells! </a:t>
          </a:r>
        </a:p>
        <a:p>
          <a:endParaRPr lang="en-GB" sz="1600" b="1">
            <a:solidFill>
              <a:schemeClr val="bg1"/>
            </a:solidFill>
          </a:endParaRPr>
        </a:p>
        <a:p>
          <a:r>
            <a:rPr lang="en-GB" sz="1600" b="1">
              <a:solidFill>
                <a:schemeClr val="bg1"/>
              </a:solidFill>
            </a:rPr>
            <a:t>The grey cells (and</a:t>
          </a:r>
          <a:r>
            <a:rPr lang="en-GB" sz="1600" b="1" baseline="0">
              <a:solidFill>
                <a:schemeClr val="bg1"/>
              </a:solidFill>
            </a:rPr>
            <a:t> the chart) will update automatically. They are all formulae so overwriting the grey cells will stop them working!</a:t>
          </a:r>
          <a:endParaRPr lang="en-GB" sz="1600" b="1">
            <a:solidFill>
              <a:schemeClr val="bg1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2167" cy="60642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P54"/>
  <sheetViews>
    <sheetView tabSelected="1" zoomScale="90" zoomScaleNormal="90" workbookViewId="0">
      <selection activeCell="A15" sqref="A15"/>
    </sheetView>
  </sheetViews>
  <sheetFormatPr defaultRowHeight="12.75" x14ac:dyDescent="0.2"/>
  <cols>
    <col min="3" max="3" width="12.28515625" customWidth="1"/>
    <col min="4" max="5" width="11" customWidth="1"/>
    <col min="6" max="6" width="12.7109375" customWidth="1"/>
    <col min="7" max="7" width="13.5703125" customWidth="1"/>
    <col min="8" max="8" width="12.28515625" customWidth="1"/>
    <col min="9" max="11" width="7.7109375" customWidth="1"/>
    <col min="12" max="12" width="13.85546875" customWidth="1"/>
    <col min="13" max="13" width="11.5703125" customWidth="1"/>
    <col min="15" max="16" width="8.85546875" customWidth="1"/>
  </cols>
  <sheetData>
    <row r="2" spans="2:16" ht="26.25" customHeight="1" x14ac:dyDescent="0.2">
      <c r="B2" s="7"/>
      <c r="C2" s="17" t="s">
        <v>19</v>
      </c>
      <c r="D2" s="17"/>
      <c r="E2" s="17"/>
      <c r="F2" s="16" t="s">
        <v>20</v>
      </c>
      <c r="G2" s="16"/>
      <c r="H2" s="15" t="s">
        <v>31</v>
      </c>
      <c r="I2" s="15"/>
      <c r="J2" s="15"/>
      <c r="K2" s="15"/>
      <c r="L2" s="9"/>
      <c r="M2" s="15" t="s">
        <v>36</v>
      </c>
      <c r="N2" s="15"/>
      <c r="O2" s="15"/>
      <c r="P2" s="15"/>
    </row>
    <row r="3" spans="2:16" s="1" customFormat="1" ht="51" x14ac:dyDescent="0.2">
      <c r="B3" s="8" t="s">
        <v>0</v>
      </c>
      <c r="C3" s="8" t="s">
        <v>1</v>
      </c>
      <c r="D3" s="8" t="s">
        <v>18</v>
      </c>
      <c r="E3" s="10" t="s">
        <v>17</v>
      </c>
      <c r="F3" s="8" t="s">
        <v>2</v>
      </c>
      <c r="G3" s="10" t="s">
        <v>21</v>
      </c>
      <c r="H3" s="10" t="s">
        <v>22</v>
      </c>
      <c r="I3" s="10" t="s">
        <v>23</v>
      </c>
      <c r="J3" s="10" t="s">
        <v>24</v>
      </c>
      <c r="K3" s="10" t="s">
        <v>25</v>
      </c>
      <c r="L3" s="10" t="s">
        <v>26</v>
      </c>
      <c r="M3" s="10" t="s">
        <v>27</v>
      </c>
      <c r="N3" s="10" t="s">
        <v>28</v>
      </c>
      <c r="O3" s="10" t="s">
        <v>29</v>
      </c>
      <c r="P3" s="10" t="s">
        <v>30</v>
      </c>
    </row>
    <row r="4" spans="2:16" x14ac:dyDescent="0.2">
      <c r="B4" s="11" t="s">
        <v>3</v>
      </c>
      <c r="C4" s="11">
        <v>204</v>
      </c>
      <c r="D4" s="11">
        <v>2</v>
      </c>
      <c r="E4" s="13">
        <f t="shared" ref="E4:E17" si="0">1-D4/C4</f>
        <v>0.99019607843137258</v>
      </c>
      <c r="F4" s="12">
        <v>3.3</v>
      </c>
      <c r="G4" s="13">
        <f t="shared" ref="G4:G17" si="1">1-F4/C4</f>
        <v>0.98382352941176476</v>
      </c>
      <c r="H4" s="13">
        <f t="shared" ref="H4:H17" si="2">(_xlfn.BINOM.INV(C4,G4,1-0.999))/C4</f>
        <v>0.9509803921568627</v>
      </c>
      <c r="I4" s="13">
        <f t="shared" ref="I4:I17" si="3">(_xlfn.BINOM.INV(C4,G4,1-0.975))/C4</f>
        <v>0.96568627450980393</v>
      </c>
      <c r="J4" s="14">
        <f t="shared" ref="J4:J17" si="4">(_xlfn.BINOM.INV(C4,G4,0.975))/C4</f>
        <v>1</v>
      </c>
      <c r="K4" s="14">
        <f t="shared" ref="K4:K17" si="5">(_xlfn.BINOM.INV(C4,G4,0.999))/C4</f>
        <v>1</v>
      </c>
      <c r="L4" s="6">
        <f>E4/G4</f>
        <v>1.0064773293472844</v>
      </c>
      <c r="M4" s="6">
        <f>H4/G4</f>
        <v>0.96661684105630286</v>
      </c>
      <c r="N4" s="6">
        <f>I4/G4</f>
        <v>0.98156452416542095</v>
      </c>
      <c r="O4" s="6">
        <f>J4/G4</f>
        <v>1.0164424514200299</v>
      </c>
      <c r="P4" s="6">
        <f>K4/G4</f>
        <v>1.0164424514200299</v>
      </c>
    </row>
    <row r="5" spans="2:16" x14ac:dyDescent="0.2">
      <c r="B5" s="11" t="s">
        <v>4</v>
      </c>
      <c r="C5" s="11">
        <v>482</v>
      </c>
      <c r="D5" s="11">
        <v>7</v>
      </c>
      <c r="E5" s="13">
        <f t="shared" si="0"/>
        <v>0.98547717842323657</v>
      </c>
      <c r="F5" s="12">
        <v>12.5</v>
      </c>
      <c r="G5" s="13">
        <f t="shared" si="1"/>
        <v>0.97406639004149376</v>
      </c>
      <c r="H5" s="13">
        <f t="shared" si="2"/>
        <v>0.94813278008298751</v>
      </c>
      <c r="I5" s="13">
        <f t="shared" si="3"/>
        <v>0.95850622406639008</v>
      </c>
      <c r="J5" s="14">
        <f t="shared" si="4"/>
        <v>0.98755186721991706</v>
      </c>
      <c r="K5" s="14">
        <f t="shared" si="5"/>
        <v>0.99377593360995853</v>
      </c>
      <c r="L5" s="6">
        <f t="shared" ref="L5:L17" si="6">E5/G5</f>
        <v>1.0117145899893505</v>
      </c>
      <c r="M5" s="6">
        <f t="shared" ref="M5:M17" si="7">H5/G5</f>
        <v>0.97337593184238547</v>
      </c>
      <c r="N5" s="6">
        <f t="shared" ref="N5:N17" si="8">I5/G5</f>
        <v>0.98402555910543132</v>
      </c>
      <c r="O5" s="6">
        <f t="shared" ref="O5:O17" si="9">J5/G5</f>
        <v>1.0138445154419595</v>
      </c>
      <c r="P5" s="6">
        <f t="shared" ref="P5:P17" si="10">K5/G5</f>
        <v>1.0202342917997871</v>
      </c>
    </row>
    <row r="6" spans="2:16" x14ac:dyDescent="0.2">
      <c r="B6" s="11" t="s">
        <v>5</v>
      </c>
      <c r="C6" s="11">
        <v>582</v>
      </c>
      <c r="D6" s="11">
        <v>11</v>
      </c>
      <c r="E6" s="13">
        <f t="shared" si="0"/>
        <v>0.98109965635738827</v>
      </c>
      <c r="F6" s="12">
        <v>14</v>
      </c>
      <c r="G6" s="13">
        <f t="shared" si="1"/>
        <v>0.97594501718213056</v>
      </c>
      <c r="H6" s="13">
        <f t="shared" si="2"/>
        <v>0.95360824742268047</v>
      </c>
      <c r="I6" s="13">
        <f t="shared" si="3"/>
        <v>0.96219931271477666</v>
      </c>
      <c r="J6" s="14">
        <f t="shared" si="4"/>
        <v>0.98797250859106533</v>
      </c>
      <c r="K6" s="14">
        <f t="shared" si="5"/>
        <v>0.99312714776632305</v>
      </c>
      <c r="L6" s="6">
        <f t="shared" si="6"/>
        <v>1.005281690140845</v>
      </c>
      <c r="M6" s="6">
        <f t="shared" si="7"/>
        <v>0.97711267605633811</v>
      </c>
      <c r="N6" s="6">
        <f t="shared" si="8"/>
        <v>0.9859154929577465</v>
      </c>
      <c r="O6" s="6">
        <f t="shared" si="9"/>
        <v>1.012323943661972</v>
      </c>
      <c r="P6" s="6">
        <f t="shared" si="10"/>
        <v>1.017605633802817</v>
      </c>
    </row>
    <row r="7" spans="2:16" x14ac:dyDescent="0.2">
      <c r="B7" s="11" t="s">
        <v>6</v>
      </c>
      <c r="C7" s="11">
        <v>678</v>
      </c>
      <c r="D7" s="11">
        <v>15</v>
      </c>
      <c r="E7" s="13">
        <f t="shared" si="0"/>
        <v>0.97787610619469023</v>
      </c>
      <c r="F7" s="12">
        <v>18.3</v>
      </c>
      <c r="G7" s="13">
        <f t="shared" si="1"/>
        <v>0.97300884955752209</v>
      </c>
      <c r="H7" s="13">
        <f t="shared" si="2"/>
        <v>0.95132743362831862</v>
      </c>
      <c r="I7" s="13">
        <f t="shared" si="3"/>
        <v>0.96017699115044253</v>
      </c>
      <c r="J7" s="14">
        <f t="shared" si="4"/>
        <v>0.98377581120943958</v>
      </c>
      <c r="K7" s="14">
        <f t="shared" si="5"/>
        <v>0.98967551622418881</v>
      </c>
      <c r="L7" s="6">
        <f t="shared" si="6"/>
        <v>1.0050022737608004</v>
      </c>
      <c r="M7" s="6">
        <f t="shared" si="7"/>
        <v>0.97771714415643485</v>
      </c>
      <c r="N7" s="6">
        <f t="shared" si="8"/>
        <v>0.98681218735789</v>
      </c>
      <c r="O7" s="6">
        <f t="shared" si="9"/>
        <v>1.011065635895104</v>
      </c>
      <c r="P7" s="6">
        <f t="shared" si="10"/>
        <v>1.0171289980294074</v>
      </c>
    </row>
    <row r="8" spans="2:16" x14ac:dyDescent="0.2">
      <c r="B8" s="11" t="s">
        <v>8</v>
      </c>
      <c r="C8" s="11">
        <v>787</v>
      </c>
      <c r="D8" s="11">
        <v>28</v>
      </c>
      <c r="E8" s="13">
        <f t="shared" si="0"/>
        <v>0.96442185514612455</v>
      </c>
      <c r="F8" s="12">
        <v>19.7</v>
      </c>
      <c r="G8" s="13">
        <f t="shared" si="1"/>
        <v>0.97496823379923758</v>
      </c>
      <c r="H8" s="13">
        <f t="shared" si="2"/>
        <v>0.95679796696315123</v>
      </c>
      <c r="I8" s="13">
        <f t="shared" si="3"/>
        <v>0.96315120711562896</v>
      </c>
      <c r="J8" s="14">
        <f t="shared" si="4"/>
        <v>0.98475222363405335</v>
      </c>
      <c r="K8" s="14">
        <f t="shared" si="5"/>
        <v>0.9898348157560356</v>
      </c>
      <c r="L8" s="6">
        <f t="shared" si="6"/>
        <v>0.98918284895086672</v>
      </c>
      <c r="M8" s="6">
        <f t="shared" si="7"/>
        <v>0.98136322168643297</v>
      </c>
      <c r="N8" s="6">
        <f t="shared" si="8"/>
        <v>0.98787957774012769</v>
      </c>
      <c r="O8" s="6">
        <f t="shared" si="9"/>
        <v>1.0100351883226899</v>
      </c>
      <c r="P8" s="6">
        <f t="shared" si="10"/>
        <v>1.0152482731656458</v>
      </c>
    </row>
    <row r="9" spans="2:16" x14ac:dyDescent="0.2">
      <c r="B9" s="11" t="s">
        <v>9</v>
      </c>
      <c r="C9" s="11">
        <v>835</v>
      </c>
      <c r="D9" s="11">
        <v>19</v>
      </c>
      <c r="E9" s="13">
        <f t="shared" si="0"/>
        <v>0.97724550898203588</v>
      </c>
      <c r="F9" s="12">
        <v>18.399999999999999</v>
      </c>
      <c r="G9" s="13">
        <f t="shared" si="1"/>
        <v>0.97796407185628742</v>
      </c>
      <c r="H9" s="13">
        <f t="shared" si="2"/>
        <v>0.96047904191616762</v>
      </c>
      <c r="I9" s="13">
        <f t="shared" si="3"/>
        <v>0.96766467065868267</v>
      </c>
      <c r="J9" s="14">
        <f t="shared" si="4"/>
        <v>0.98682634730538921</v>
      </c>
      <c r="K9" s="14">
        <f t="shared" si="5"/>
        <v>0.99161676646706587</v>
      </c>
      <c r="L9" s="6">
        <f t="shared" si="6"/>
        <v>0.9992652461425422</v>
      </c>
      <c r="M9" s="6">
        <f t="shared" si="7"/>
        <v>0.98212098946852799</v>
      </c>
      <c r="N9" s="6">
        <f t="shared" si="8"/>
        <v>0.98946852804310559</v>
      </c>
      <c r="O9" s="6">
        <f t="shared" si="9"/>
        <v>1.0090619642419789</v>
      </c>
      <c r="P9" s="6">
        <f t="shared" si="10"/>
        <v>1.0139603232916974</v>
      </c>
    </row>
    <row r="10" spans="2:16" x14ac:dyDescent="0.2">
      <c r="B10" s="11" t="s">
        <v>10</v>
      </c>
      <c r="C10" s="11">
        <v>890</v>
      </c>
      <c r="D10" s="11">
        <v>17</v>
      </c>
      <c r="E10" s="13">
        <f t="shared" si="0"/>
        <v>0.98089887640449436</v>
      </c>
      <c r="F10" s="12">
        <v>24</v>
      </c>
      <c r="G10" s="13">
        <f t="shared" si="1"/>
        <v>0.97303370786516852</v>
      </c>
      <c r="H10" s="13">
        <f t="shared" si="2"/>
        <v>0.9550561797752809</v>
      </c>
      <c r="I10" s="13">
        <f t="shared" si="3"/>
        <v>0.96179775280898872</v>
      </c>
      <c r="J10" s="14">
        <f t="shared" si="4"/>
        <v>0.9831460674157303</v>
      </c>
      <c r="K10" s="14">
        <f t="shared" si="5"/>
        <v>0.98764044943820228</v>
      </c>
      <c r="L10" s="6">
        <f t="shared" si="6"/>
        <v>1.0080831408775981</v>
      </c>
      <c r="M10" s="6">
        <f t="shared" si="7"/>
        <v>0.98152424942263283</v>
      </c>
      <c r="N10" s="6">
        <f t="shared" si="8"/>
        <v>0.98845265588914544</v>
      </c>
      <c r="O10" s="6">
        <f t="shared" si="9"/>
        <v>1.0103926096997691</v>
      </c>
      <c r="P10" s="6">
        <f t="shared" si="10"/>
        <v>1.0150115473441108</v>
      </c>
    </row>
    <row r="11" spans="2:16" x14ac:dyDescent="0.2">
      <c r="B11" s="11" t="s">
        <v>11</v>
      </c>
      <c r="C11" s="11">
        <v>976</v>
      </c>
      <c r="D11" s="11">
        <v>23</v>
      </c>
      <c r="E11" s="13">
        <f t="shared" si="0"/>
        <v>0.97643442622950816</v>
      </c>
      <c r="F11" s="12">
        <v>19.5</v>
      </c>
      <c r="G11" s="13">
        <f t="shared" si="1"/>
        <v>0.98002049180327866</v>
      </c>
      <c r="H11" s="13">
        <f t="shared" si="2"/>
        <v>0.9651639344262295</v>
      </c>
      <c r="I11" s="13">
        <f t="shared" si="3"/>
        <v>0.97131147540983609</v>
      </c>
      <c r="J11" s="14">
        <f t="shared" si="4"/>
        <v>0.98872950819672134</v>
      </c>
      <c r="K11" s="14">
        <f t="shared" si="5"/>
        <v>0.99180327868852458</v>
      </c>
      <c r="L11" s="6">
        <f t="shared" si="6"/>
        <v>0.99634082592786199</v>
      </c>
      <c r="M11" s="6">
        <f t="shared" si="7"/>
        <v>0.98484056455828539</v>
      </c>
      <c r="N11" s="6">
        <f t="shared" si="8"/>
        <v>0.99111343439623634</v>
      </c>
      <c r="O11" s="6">
        <f t="shared" si="9"/>
        <v>1.0088865656037638</v>
      </c>
      <c r="P11" s="6">
        <f t="shared" si="10"/>
        <v>1.0120230005227391</v>
      </c>
    </row>
    <row r="12" spans="2:16" x14ac:dyDescent="0.2">
      <c r="B12" s="11" t="s">
        <v>7</v>
      </c>
      <c r="C12" s="11">
        <v>1056</v>
      </c>
      <c r="D12" s="11">
        <v>23</v>
      </c>
      <c r="E12" s="13">
        <f t="shared" si="0"/>
        <v>0.97821969696969702</v>
      </c>
      <c r="F12" s="12">
        <v>23.2</v>
      </c>
      <c r="G12" s="13">
        <f t="shared" si="1"/>
        <v>0.97803030303030303</v>
      </c>
      <c r="H12" s="13">
        <f t="shared" si="2"/>
        <v>0.96306818181818177</v>
      </c>
      <c r="I12" s="13">
        <f t="shared" si="3"/>
        <v>0.96875</v>
      </c>
      <c r="J12" s="14">
        <f t="shared" si="4"/>
        <v>0.9867424242424242</v>
      </c>
      <c r="K12" s="14">
        <f t="shared" si="5"/>
        <v>0.99053030303030298</v>
      </c>
      <c r="L12" s="6">
        <f t="shared" si="6"/>
        <v>1.0001936483346243</v>
      </c>
      <c r="M12" s="6">
        <f t="shared" si="7"/>
        <v>0.98470178156467847</v>
      </c>
      <c r="N12" s="6">
        <f t="shared" si="8"/>
        <v>0.99051123160340826</v>
      </c>
      <c r="O12" s="6">
        <f t="shared" si="9"/>
        <v>1.0089078233927187</v>
      </c>
      <c r="P12" s="6">
        <f t="shared" si="10"/>
        <v>1.0127807900852053</v>
      </c>
    </row>
    <row r="13" spans="2:16" x14ac:dyDescent="0.2">
      <c r="B13" s="11" t="s">
        <v>12</v>
      </c>
      <c r="C13" s="11">
        <v>1107</v>
      </c>
      <c r="D13" s="11">
        <v>12</v>
      </c>
      <c r="E13" s="13">
        <f t="shared" si="0"/>
        <v>0.98915989159891604</v>
      </c>
      <c r="F13" s="12">
        <v>23.2</v>
      </c>
      <c r="G13" s="13">
        <f t="shared" si="1"/>
        <v>0.97904245709123761</v>
      </c>
      <c r="H13" s="13">
        <f t="shared" si="2"/>
        <v>0.964769647696477</v>
      </c>
      <c r="I13" s="13">
        <f t="shared" si="3"/>
        <v>0.97018970189701892</v>
      </c>
      <c r="J13" s="14">
        <f t="shared" si="4"/>
        <v>0.98735320686540196</v>
      </c>
      <c r="K13" s="14">
        <f t="shared" si="5"/>
        <v>0.99096657633243002</v>
      </c>
      <c r="L13" s="6">
        <f t="shared" si="6"/>
        <v>1.0103340099649383</v>
      </c>
      <c r="M13" s="6">
        <f t="shared" si="7"/>
        <v>0.98542166451374791</v>
      </c>
      <c r="N13" s="6">
        <f t="shared" si="8"/>
        <v>0.99095774128067904</v>
      </c>
      <c r="O13" s="6">
        <f t="shared" si="9"/>
        <v>1.0084886510426276</v>
      </c>
      <c r="P13" s="6">
        <f t="shared" si="10"/>
        <v>1.0121793688872485</v>
      </c>
    </row>
    <row r="14" spans="2:16" x14ac:dyDescent="0.2">
      <c r="B14" s="11" t="s">
        <v>14</v>
      </c>
      <c r="C14" s="11">
        <v>1146</v>
      </c>
      <c r="D14" s="11">
        <v>28</v>
      </c>
      <c r="E14" s="13">
        <f t="shared" si="0"/>
        <v>0.9755671902268761</v>
      </c>
      <c r="F14" s="12">
        <v>29.8</v>
      </c>
      <c r="G14" s="13">
        <f t="shared" si="1"/>
        <v>0.97399650959860384</v>
      </c>
      <c r="H14" s="13">
        <f t="shared" si="2"/>
        <v>0.95811518324607325</v>
      </c>
      <c r="I14" s="13">
        <f t="shared" si="3"/>
        <v>0.96422338568935428</v>
      </c>
      <c r="J14" s="14">
        <f t="shared" si="4"/>
        <v>0.98254799301919715</v>
      </c>
      <c r="K14" s="14">
        <f t="shared" si="5"/>
        <v>0.98691099476439792</v>
      </c>
      <c r="L14" s="6">
        <f t="shared" si="6"/>
        <v>1.0016126142268411</v>
      </c>
      <c r="M14" s="6">
        <f t="shared" si="7"/>
        <v>0.98369467837305136</v>
      </c>
      <c r="N14" s="6">
        <f t="shared" si="8"/>
        <v>0.98996595592187775</v>
      </c>
      <c r="O14" s="6">
        <f t="shared" si="9"/>
        <v>1.0087797885683569</v>
      </c>
      <c r="P14" s="6">
        <f t="shared" si="10"/>
        <v>1.0132592725318044</v>
      </c>
    </row>
    <row r="15" spans="2:16" x14ac:dyDescent="0.2">
      <c r="B15" s="11" t="s">
        <v>13</v>
      </c>
      <c r="C15" s="11">
        <v>1204</v>
      </c>
      <c r="D15" s="11">
        <v>39</v>
      </c>
      <c r="E15" s="13">
        <f t="shared" si="0"/>
        <v>0.96760797342192695</v>
      </c>
      <c r="F15" s="12">
        <v>33.700000000000003</v>
      </c>
      <c r="G15" s="13">
        <f t="shared" si="1"/>
        <v>0.97200996677740858</v>
      </c>
      <c r="H15" s="13">
        <f t="shared" si="2"/>
        <v>0.95598006644518274</v>
      </c>
      <c r="I15" s="13">
        <f t="shared" si="3"/>
        <v>0.96262458471760792</v>
      </c>
      <c r="J15" s="14">
        <f t="shared" si="4"/>
        <v>0.98089700996677742</v>
      </c>
      <c r="K15" s="14">
        <f t="shared" si="5"/>
        <v>0.98588039867109634</v>
      </c>
      <c r="L15" s="6">
        <f t="shared" si="6"/>
        <v>0.99547124668888332</v>
      </c>
      <c r="M15" s="6">
        <f t="shared" si="7"/>
        <v>0.9835085020934804</v>
      </c>
      <c r="N15" s="6">
        <f t="shared" si="8"/>
        <v>0.99034435614799621</v>
      </c>
      <c r="O15" s="6">
        <f t="shared" si="9"/>
        <v>1.0091429547979152</v>
      </c>
      <c r="P15" s="6">
        <f t="shared" si="10"/>
        <v>1.0142698453388022</v>
      </c>
    </row>
    <row r="16" spans="2:16" x14ac:dyDescent="0.2">
      <c r="B16" s="11" t="s">
        <v>15</v>
      </c>
      <c r="C16" s="11">
        <v>1481</v>
      </c>
      <c r="D16" s="11">
        <v>30</v>
      </c>
      <c r="E16" s="13">
        <f t="shared" si="0"/>
        <v>0.97974341661039843</v>
      </c>
      <c r="F16" s="12">
        <v>47</v>
      </c>
      <c r="G16" s="13">
        <f t="shared" si="1"/>
        <v>0.96826468602295745</v>
      </c>
      <c r="H16" s="13">
        <f t="shared" si="2"/>
        <v>0.95340985820391633</v>
      </c>
      <c r="I16" s="13">
        <f t="shared" si="3"/>
        <v>0.95881161377447666</v>
      </c>
      <c r="J16" s="14">
        <f t="shared" si="4"/>
        <v>0.97704253882511816</v>
      </c>
      <c r="K16" s="14">
        <f t="shared" si="5"/>
        <v>0.98109385550303851</v>
      </c>
      <c r="L16" s="6">
        <f t="shared" si="6"/>
        <v>1.0118549511854953</v>
      </c>
      <c r="M16" s="6">
        <f t="shared" si="7"/>
        <v>0.98465829846582986</v>
      </c>
      <c r="N16" s="6">
        <f t="shared" si="8"/>
        <v>0.99023709902370982</v>
      </c>
      <c r="O16" s="6">
        <f t="shared" si="9"/>
        <v>1.0090655509065551</v>
      </c>
      <c r="P16" s="6">
        <f t="shared" si="10"/>
        <v>1.0132496513249651</v>
      </c>
    </row>
    <row r="17" spans="2:16" x14ac:dyDescent="0.2">
      <c r="B17" s="11" t="s">
        <v>16</v>
      </c>
      <c r="C17" s="11">
        <v>1881</v>
      </c>
      <c r="D17" s="11">
        <v>31</v>
      </c>
      <c r="E17" s="13">
        <f t="shared" si="0"/>
        <v>0.98351940457203613</v>
      </c>
      <c r="F17" s="12">
        <v>43.3</v>
      </c>
      <c r="G17" s="13">
        <f t="shared" si="1"/>
        <v>0.97698032961190862</v>
      </c>
      <c r="H17" s="13">
        <f t="shared" si="2"/>
        <v>0.96544391281233388</v>
      </c>
      <c r="I17" s="13">
        <f t="shared" si="3"/>
        <v>0.97022860180754922</v>
      </c>
      <c r="J17" s="14">
        <f t="shared" si="4"/>
        <v>0.98351940457203613</v>
      </c>
      <c r="K17" s="14">
        <f t="shared" si="5"/>
        <v>0.98670919723551298</v>
      </c>
      <c r="L17" s="6">
        <f t="shared" si="6"/>
        <v>1.0066931490450017</v>
      </c>
      <c r="M17" s="6">
        <f t="shared" si="7"/>
        <v>0.98819176144093157</v>
      </c>
      <c r="N17" s="6">
        <f t="shared" si="8"/>
        <v>0.99308918757142073</v>
      </c>
      <c r="O17" s="6">
        <f t="shared" si="9"/>
        <v>1.0066931490450017</v>
      </c>
      <c r="P17" s="6">
        <f t="shared" si="10"/>
        <v>1.0099580997986612</v>
      </c>
    </row>
    <row r="20" spans="2:16" x14ac:dyDescent="0.2">
      <c r="C20" t="s">
        <v>32</v>
      </c>
    </row>
    <row r="21" spans="2:16" ht="25.5" x14ac:dyDescent="0.2">
      <c r="B21" s="3"/>
      <c r="C21" s="4" t="s">
        <v>27</v>
      </c>
      <c r="D21" s="4" t="s">
        <v>28</v>
      </c>
      <c r="E21" s="4" t="s">
        <v>29</v>
      </c>
      <c r="F21" s="4" t="s">
        <v>30</v>
      </c>
      <c r="G21" s="4" t="s">
        <v>33</v>
      </c>
      <c r="H21" s="4" t="s">
        <v>35</v>
      </c>
      <c r="I21" s="1" t="s">
        <v>34</v>
      </c>
    </row>
    <row r="22" spans="2:16" x14ac:dyDescent="0.2">
      <c r="B22" s="5" t="s">
        <v>0</v>
      </c>
      <c r="C22" s="2"/>
      <c r="D22" s="2"/>
      <c r="E22" s="2"/>
      <c r="F22" s="2"/>
      <c r="G22" s="2"/>
      <c r="H22" s="2"/>
    </row>
    <row r="23" spans="2:16" x14ac:dyDescent="0.2">
      <c r="B23" s="2" t="str">
        <f>B4</f>
        <v>RVB</v>
      </c>
      <c r="C23" s="6">
        <f>M4</f>
        <v>0.96661684105630286</v>
      </c>
      <c r="D23" s="6">
        <f>N4-M4</f>
        <v>1.4947683109118093E-2</v>
      </c>
      <c r="E23" s="6">
        <f>O4-N4</f>
        <v>3.487792725460892E-2</v>
      </c>
      <c r="F23" s="6">
        <f>P4-O4</f>
        <v>0</v>
      </c>
      <c r="G23" s="6">
        <f>1.03-P4</f>
        <v>1.3557548579970158E-2</v>
      </c>
      <c r="H23" s="6">
        <f>L4</f>
        <v>1.0064773293472844</v>
      </c>
      <c r="I23" t="str">
        <f t="shared" ref="I23:I36" si="11">B23 &amp; " (" &amp; C4 &amp; ")"</f>
        <v>RVB (204)</v>
      </c>
    </row>
    <row r="24" spans="2:16" x14ac:dyDescent="0.2">
      <c r="B24" s="2" t="str">
        <f t="shared" ref="B24:B36" si="12">B5</f>
        <v>HSC</v>
      </c>
      <c r="C24" s="6">
        <f t="shared" ref="C24:C36" si="13">M5</f>
        <v>0.97337593184238547</v>
      </c>
      <c r="D24" s="6">
        <f t="shared" ref="D24:D36" si="14">N5-M5</f>
        <v>1.0649627263045858E-2</v>
      </c>
      <c r="E24" s="6">
        <f t="shared" ref="E24:E36" si="15">O5-N5</f>
        <v>2.9818956336528202E-2</v>
      </c>
      <c r="F24" s="6">
        <f t="shared" ref="F24:F36" si="16">P5-O5</f>
        <v>6.389776357827559E-3</v>
      </c>
      <c r="G24" s="6">
        <f t="shared" ref="G24:G36" si="17">1.03-P5</f>
        <v>9.7657082002129414E-3</v>
      </c>
      <c r="H24" s="6">
        <f t="shared" ref="H24:H36" si="18">L5</f>
        <v>1.0117145899893505</v>
      </c>
      <c r="I24" t="str">
        <f t="shared" si="11"/>
        <v>HSC (482)</v>
      </c>
    </row>
    <row r="25" spans="2:16" x14ac:dyDescent="0.2">
      <c r="B25" s="2" t="str">
        <f t="shared" si="12"/>
        <v>GRL</v>
      </c>
      <c r="C25" s="6">
        <f t="shared" si="13"/>
        <v>0.97711267605633811</v>
      </c>
      <c r="D25" s="6">
        <f t="shared" si="14"/>
        <v>8.8028169014083835E-3</v>
      </c>
      <c r="E25" s="6">
        <f t="shared" si="15"/>
        <v>2.6408450704225483E-2</v>
      </c>
      <c r="F25" s="6">
        <f t="shared" si="16"/>
        <v>5.2816901408450079E-3</v>
      </c>
      <c r="G25" s="6">
        <f t="shared" si="17"/>
        <v>1.2394366197183038E-2</v>
      </c>
      <c r="H25" s="6">
        <f t="shared" si="18"/>
        <v>1.005281690140845</v>
      </c>
      <c r="I25" t="str">
        <f t="shared" si="11"/>
        <v>GRL (582)</v>
      </c>
    </row>
    <row r="26" spans="2:16" x14ac:dyDescent="0.2">
      <c r="B26" s="2" t="str">
        <f t="shared" si="12"/>
        <v>FRE</v>
      </c>
      <c r="C26" s="6">
        <f t="shared" si="13"/>
        <v>0.97771714415643485</v>
      </c>
      <c r="D26" s="6">
        <f t="shared" si="14"/>
        <v>9.0950432014551552E-3</v>
      </c>
      <c r="E26" s="6">
        <f t="shared" si="15"/>
        <v>2.4253448537214006E-2</v>
      </c>
      <c r="F26" s="6">
        <f t="shared" si="16"/>
        <v>6.0633621343033628E-3</v>
      </c>
      <c r="G26" s="6">
        <f t="shared" si="17"/>
        <v>1.2871001970592655E-2</v>
      </c>
      <c r="H26" s="6">
        <f t="shared" si="18"/>
        <v>1.0050022737608004</v>
      </c>
      <c r="I26" t="str">
        <f t="shared" si="11"/>
        <v>FRE (678)</v>
      </c>
    </row>
    <row r="27" spans="2:16" x14ac:dyDescent="0.2">
      <c r="B27" s="2" t="str">
        <f t="shared" si="12"/>
        <v>RHS</v>
      </c>
      <c r="C27" s="6">
        <f t="shared" si="13"/>
        <v>0.98136322168643297</v>
      </c>
      <c r="D27" s="6">
        <f t="shared" si="14"/>
        <v>6.5163560536947163E-3</v>
      </c>
      <c r="E27" s="6">
        <f t="shared" si="15"/>
        <v>2.2155610582562213E-2</v>
      </c>
      <c r="F27" s="6">
        <f t="shared" si="16"/>
        <v>5.2130848429559062E-3</v>
      </c>
      <c r="G27" s="6">
        <f t="shared" si="17"/>
        <v>1.4751726834354217E-2</v>
      </c>
      <c r="H27" s="6">
        <f t="shared" si="18"/>
        <v>0.98918284895086672</v>
      </c>
      <c r="I27" t="str">
        <f t="shared" si="11"/>
        <v>RHS (787)</v>
      </c>
    </row>
    <row r="28" spans="2:16" x14ac:dyDescent="0.2">
      <c r="B28" s="2" t="str">
        <f t="shared" si="12"/>
        <v>BRC</v>
      </c>
      <c r="C28" s="6">
        <f t="shared" si="13"/>
        <v>0.98212098946852799</v>
      </c>
      <c r="D28" s="6">
        <f t="shared" si="14"/>
        <v>7.3475385745775945E-3</v>
      </c>
      <c r="E28" s="6">
        <f t="shared" si="15"/>
        <v>1.9593436198873326E-2</v>
      </c>
      <c r="F28" s="6">
        <f t="shared" si="16"/>
        <v>4.8983590497184704E-3</v>
      </c>
      <c r="G28" s="6">
        <f t="shared" si="17"/>
        <v>1.6039676708302641E-2</v>
      </c>
      <c r="H28" s="6">
        <f t="shared" si="18"/>
        <v>0.9992652461425422</v>
      </c>
      <c r="I28" t="str">
        <f t="shared" si="11"/>
        <v>BRC (835)</v>
      </c>
    </row>
    <row r="29" spans="2:16" x14ac:dyDescent="0.2">
      <c r="B29" s="2" t="str">
        <f t="shared" si="12"/>
        <v>SGH</v>
      </c>
      <c r="C29" s="6">
        <f t="shared" si="13"/>
        <v>0.98152424942263283</v>
      </c>
      <c r="D29" s="6">
        <f t="shared" si="14"/>
        <v>6.9284064665126044E-3</v>
      </c>
      <c r="E29" s="6">
        <f t="shared" si="15"/>
        <v>2.1939953810623636E-2</v>
      </c>
      <c r="F29" s="6">
        <f t="shared" si="16"/>
        <v>4.6189376443417363E-3</v>
      </c>
      <c r="G29" s="6">
        <f t="shared" si="17"/>
        <v>1.4988452655889217E-2</v>
      </c>
      <c r="H29" s="6">
        <f t="shared" si="18"/>
        <v>1.0080831408775981</v>
      </c>
      <c r="I29" t="str">
        <f t="shared" si="11"/>
        <v>SGH (890)</v>
      </c>
    </row>
    <row r="30" spans="2:16" x14ac:dyDescent="0.2">
      <c r="B30" s="2" t="str">
        <f t="shared" si="12"/>
        <v>LGI</v>
      </c>
      <c r="C30" s="6">
        <f t="shared" si="13"/>
        <v>0.98484056455828539</v>
      </c>
      <c r="D30" s="6">
        <f t="shared" si="14"/>
        <v>6.2728698379509451E-3</v>
      </c>
      <c r="E30" s="6">
        <f t="shared" si="15"/>
        <v>1.7773131207527437E-2</v>
      </c>
      <c r="F30" s="6">
        <f t="shared" si="16"/>
        <v>3.136434918975306E-3</v>
      </c>
      <c r="G30" s="6">
        <f t="shared" si="17"/>
        <v>1.7976999477260946E-2</v>
      </c>
      <c r="H30" s="6">
        <f t="shared" si="18"/>
        <v>0.99634082592786199</v>
      </c>
      <c r="I30" t="str">
        <f t="shared" si="11"/>
        <v>LGI (976)</v>
      </c>
    </row>
    <row r="31" spans="2:16" x14ac:dyDescent="0.2">
      <c r="B31" s="2" t="str">
        <f t="shared" si="12"/>
        <v>OLS</v>
      </c>
      <c r="C31" s="6">
        <f t="shared" si="13"/>
        <v>0.98470178156467847</v>
      </c>
      <c r="D31" s="6">
        <f t="shared" si="14"/>
        <v>5.8094500387297909E-3</v>
      </c>
      <c r="E31" s="6">
        <f t="shared" si="15"/>
        <v>1.8396591789310413E-2</v>
      </c>
      <c r="F31" s="6">
        <f t="shared" si="16"/>
        <v>3.8729666924866013E-3</v>
      </c>
      <c r="G31" s="6">
        <f t="shared" si="17"/>
        <v>1.7219209914794753E-2</v>
      </c>
      <c r="H31" s="6">
        <f t="shared" si="18"/>
        <v>1.0001936483346243</v>
      </c>
      <c r="I31" t="str">
        <f t="shared" si="11"/>
        <v>OLS (1056)</v>
      </c>
    </row>
    <row r="32" spans="2:16" x14ac:dyDescent="0.2">
      <c r="B32" s="2" t="str">
        <f t="shared" si="12"/>
        <v>NHB</v>
      </c>
      <c r="C32" s="6">
        <f t="shared" si="13"/>
        <v>0.98542166451374791</v>
      </c>
      <c r="D32" s="6">
        <f t="shared" si="14"/>
        <v>5.5360767669311306E-3</v>
      </c>
      <c r="E32" s="6">
        <f t="shared" si="15"/>
        <v>1.7530909761948599E-2</v>
      </c>
      <c r="F32" s="6">
        <f t="shared" si="16"/>
        <v>3.6907178446208277E-3</v>
      </c>
      <c r="G32" s="6">
        <f t="shared" si="17"/>
        <v>1.7820631112751562E-2</v>
      </c>
      <c r="H32" s="6">
        <f t="shared" si="18"/>
        <v>1.0103340099649383</v>
      </c>
      <c r="I32" t="str">
        <f t="shared" si="11"/>
        <v>NHB (1107)</v>
      </c>
    </row>
    <row r="33" spans="2:9" x14ac:dyDescent="0.2">
      <c r="B33" s="2" t="str">
        <f t="shared" si="12"/>
        <v>ACH</v>
      </c>
      <c r="C33" s="6">
        <f t="shared" si="13"/>
        <v>0.98369467837305136</v>
      </c>
      <c r="D33" s="6">
        <f t="shared" si="14"/>
        <v>6.2712775488263928E-3</v>
      </c>
      <c r="E33" s="6">
        <f t="shared" si="15"/>
        <v>1.8813832646479178E-2</v>
      </c>
      <c r="F33" s="6">
        <f t="shared" si="16"/>
        <v>4.4794839634474393E-3</v>
      </c>
      <c r="G33" s="6">
        <f t="shared" si="17"/>
        <v>1.674072746819566E-2</v>
      </c>
      <c r="H33" s="6">
        <f t="shared" si="18"/>
        <v>1.0016126142268411</v>
      </c>
      <c r="I33" t="str">
        <f t="shared" si="11"/>
        <v>ACH (1146)</v>
      </c>
    </row>
    <row r="34" spans="2:9" x14ac:dyDescent="0.2">
      <c r="B34" s="2" t="str">
        <f t="shared" si="12"/>
        <v>GUY</v>
      </c>
      <c r="C34" s="6">
        <f t="shared" si="13"/>
        <v>0.9835085020934804</v>
      </c>
      <c r="D34" s="6">
        <f t="shared" si="14"/>
        <v>6.8358540545158109E-3</v>
      </c>
      <c r="E34" s="6">
        <f t="shared" si="15"/>
        <v>1.8798598649918952E-2</v>
      </c>
      <c r="F34" s="6">
        <f t="shared" si="16"/>
        <v>5.1268905408869969E-3</v>
      </c>
      <c r="G34" s="6">
        <f t="shared" si="17"/>
        <v>1.573015466119787E-2</v>
      </c>
      <c r="H34" s="6">
        <f t="shared" si="18"/>
        <v>0.99547124668888332</v>
      </c>
      <c r="I34" t="str">
        <f t="shared" si="11"/>
        <v>GUY (1204)</v>
      </c>
    </row>
    <row r="35" spans="2:9" x14ac:dyDescent="0.2">
      <c r="B35" s="2" t="str">
        <f t="shared" si="12"/>
        <v>BCH</v>
      </c>
      <c r="C35" s="6">
        <f t="shared" si="13"/>
        <v>0.98465829846582986</v>
      </c>
      <c r="D35" s="6">
        <f t="shared" si="14"/>
        <v>5.5788005578799593E-3</v>
      </c>
      <c r="E35" s="6">
        <f t="shared" si="15"/>
        <v>1.8828451882845321E-2</v>
      </c>
      <c r="F35" s="6">
        <f t="shared" si="16"/>
        <v>4.1841004184099972E-3</v>
      </c>
      <c r="G35" s="6">
        <f t="shared" si="17"/>
        <v>1.6750348675034887E-2</v>
      </c>
      <c r="H35" s="6">
        <f t="shared" si="18"/>
        <v>1.0118549511854953</v>
      </c>
      <c r="I35" t="str">
        <f t="shared" si="11"/>
        <v>BCH (1481)</v>
      </c>
    </row>
    <row r="36" spans="2:9" x14ac:dyDescent="0.2">
      <c r="B36" s="2" t="str">
        <f t="shared" si="12"/>
        <v>GOS</v>
      </c>
      <c r="C36" s="6">
        <f t="shared" si="13"/>
        <v>0.98819176144093157</v>
      </c>
      <c r="D36" s="6">
        <f t="shared" si="14"/>
        <v>4.8974261304891575E-3</v>
      </c>
      <c r="E36" s="6">
        <f t="shared" si="15"/>
        <v>1.3603961473581005E-2</v>
      </c>
      <c r="F36" s="6">
        <f t="shared" si="16"/>
        <v>3.2649507536595124E-3</v>
      </c>
      <c r="G36" s="6">
        <f t="shared" si="17"/>
        <v>2.004190020133878E-2</v>
      </c>
      <c r="H36" s="6">
        <f t="shared" si="18"/>
        <v>1.0066931490450017</v>
      </c>
      <c r="I36" t="str">
        <f t="shared" si="11"/>
        <v>GOS (1881)</v>
      </c>
    </row>
    <row r="38" spans="2:9" x14ac:dyDescent="0.2">
      <c r="C38" t="s">
        <v>37</v>
      </c>
    </row>
    <row r="39" spans="2:9" ht="25.5" x14ac:dyDescent="0.2">
      <c r="B39" s="3"/>
      <c r="C39" s="4" t="s">
        <v>27</v>
      </c>
      <c r="D39" s="4" t="s">
        <v>28</v>
      </c>
      <c r="E39" s="4" t="s">
        <v>29</v>
      </c>
      <c r="F39" s="4" t="s">
        <v>30</v>
      </c>
      <c r="G39" s="4" t="s">
        <v>33</v>
      </c>
      <c r="H39" s="4" t="s">
        <v>35</v>
      </c>
      <c r="I39" s="1" t="s">
        <v>34</v>
      </c>
    </row>
    <row r="40" spans="2:9" x14ac:dyDescent="0.2">
      <c r="B40" s="5" t="s">
        <v>0</v>
      </c>
      <c r="C40" s="2"/>
      <c r="D40" s="2"/>
      <c r="E40" s="2"/>
      <c r="F40" s="2"/>
      <c r="G40" s="2"/>
      <c r="H40" s="2"/>
    </row>
    <row r="41" spans="2:9" x14ac:dyDescent="0.2">
      <c r="B41" s="2" t="s">
        <v>3</v>
      </c>
      <c r="C41" s="6">
        <f>H4</f>
        <v>0.9509803921568627</v>
      </c>
      <c r="D41" s="6">
        <f>I4-H4</f>
        <v>1.4705882352941235E-2</v>
      </c>
      <c r="E41" s="6">
        <f>J4-I4</f>
        <v>3.4313725490196068E-2</v>
      </c>
      <c r="F41" s="6">
        <f>K4-J4</f>
        <v>0</v>
      </c>
      <c r="G41" s="6">
        <f>1-K4</f>
        <v>0</v>
      </c>
      <c r="H41" s="6">
        <f>E4</f>
        <v>0.99019607843137258</v>
      </c>
    </row>
    <row r="42" spans="2:9" x14ac:dyDescent="0.2">
      <c r="B42" s="2" t="s">
        <v>4</v>
      </c>
      <c r="C42" s="6">
        <f t="shared" ref="C42:C54" si="19">H5</f>
        <v>0.94813278008298751</v>
      </c>
      <c r="D42" s="6">
        <f t="shared" ref="D42:F42" si="20">I5-H5</f>
        <v>1.0373443983402564E-2</v>
      </c>
      <c r="E42" s="6">
        <f t="shared" si="20"/>
        <v>2.9045643153526979E-2</v>
      </c>
      <c r="F42" s="6">
        <f t="shared" si="20"/>
        <v>6.2240663900414717E-3</v>
      </c>
      <c r="G42" s="6">
        <f t="shared" ref="G42:G54" si="21">1-K5</f>
        <v>6.2240663900414717E-3</v>
      </c>
      <c r="H42" s="6">
        <f t="shared" ref="H42:H54" si="22">E5</f>
        <v>0.98547717842323657</v>
      </c>
    </row>
    <row r="43" spans="2:9" x14ac:dyDescent="0.2">
      <c r="B43" s="2" t="s">
        <v>5</v>
      </c>
      <c r="C43" s="6">
        <f t="shared" si="19"/>
        <v>0.95360824742268047</v>
      </c>
      <c r="D43" s="6">
        <f t="shared" ref="D43:F43" si="23">I6-H6</f>
        <v>8.5910652920961894E-3</v>
      </c>
      <c r="E43" s="6">
        <f t="shared" si="23"/>
        <v>2.5773195876288679E-2</v>
      </c>
      <c r="F43" s="6">
        <f t="shared" si="23"/>
        <v>5.1546391752577136E-3</v>
      </c>
      <c r="G43" s="6">
        <f t="shared" si="21"/>
        <v>6.8728522336769515E-3</v>
      </c>
      <c r="H43" s="6">
        <f t="shared" si="22"/>
        <v>0.98109965635738827</v>
      </c>
    </row>
    <row r="44" spans="2:9" x14ac:dyDescent="0.2">
      <c r="B44" s="2" t="s">
        <v>6</v>
      </c>
      <c r="C44" s="6">
        <f t="shared" si="19"/>
        <v>0.95132743362831862</v>
      </c>
      <c r="D44" s="6">
        <f t="shared" ref="D44:F44" si="24">I7-H7</f>
        <v>8.8495575221239076E-3</v>
      </c>
      <c r="E44" s="6">
        <f t="shared" si="24"/>
        <v>2.359882005899705E-2</v>
      </c>
      <c r="F44" s="6">
        <f t="shared" si="24"/>
        <v>5.8997050147492347E-3</v>
      </c>
      <c r="G44" s="6">
        <f t="shared" si="21"/>
        <v>1.0324483775811188E-2</v>
      </c>
      <c r="H44" s="6">
        <f t="shared" si="22"/>
        <v>0.97787610619469023</v>
      </c>
    </row>
    <row r="45" spans="2:9" x14ac:dyDescent="0.2">
      <c r="B45" s="2" t="s">
        <v>7</v>
      </c>
      <c r="C45" s="6">
        <f t="shared" si="19"/>
        <v>0.95679796696315123</v>
      </c>
      <c r="D45" s="6">
        <f t="shared" ref="D45:F45" si="25">I8-H8</f>
        <v>6.3532401524777349E-3</v>
      </c>
      <c r="E45" s="6">
        <f t="shared" si="25"/>
        <v>2.1601016518424387E-2</v>
      </c>
      <c r="F45" s="6">
        <f t="shared" si="25"/>
        <v>5.0825921219822545E-3</v>
      </c>
      <c r="G45" s="6">
        <f t="shared" si="21"/>
        <v>1.0165184243964398E-2</v>
      </c>
      <c r="H45" s="6">
        <f t="shared" si="22"/>
        <v>0.96442185514612455</v>
      </c>
    </row>
    <row r="46" spans="2:9" x14ac:dyDescent="0.2">
      <c r="B46" s="2" t="s">
        <v>8</v>
      </c>
      <c r="C46" s="6">
        <f t="shared" si="19"/>
        <v>0.96047904191616762</v>
      </c>
      <c r="D46" s="6">
        <f t="shared" ref="D46:F46" si="26">I9-H9</f>
        <v>7.1856287425150489E-3</v>
      </c>
      <c r="E46" s="6">
        <f t="shared" si="26"/>
        <v>1.9161676646706538E-2</v>
      </c>
      <c r="F46" s="6">
        <f t="shared" si="26"/>
        <v>4.7904191616766623E-3</v>
      </c>
      <c r="G46" s="6">
        <f t="shared" si="21"/>
        <v>8.3832335329341312E-3</v>
      </c>
      <c r="H46" s="6">
        <f t="shared" si="22"/>
        <v>0.97724550898203588</v>
      </c>
    </row>
    <row r="47" spans="2:9" x14ac:dyDescent="0.2">
      <c r="B47" s="2" t="s">
        <v>9</v>
      </c>
      <c r="C47" s="6">
        <f t="shared" si="19"/>
        <v>0.9550561797752809</v>
      </c>
      <c r="D47" s="6">
        <f t="shared" ref="D47:F47" si="27">I10-H10</f>
        <v>6.741573033707815E-3</v>
      </c>
      <c r="E47" s="6">
        <f t="shared" si="27"/>
        <v>2.1348314606741581E-2</v>
      </c>
      <c r="F47" s="6">
        <f t="shared" si="27"/>
        <v>4.4943820224719877E-3</v>
      </c>
      <c r="G47" s="6">
        <f t="shared" si="21"/>
        <v>1.2359550561797716E-2</v>
      </c>
      <c r="H47" s="6">
        <f t="shared" si="22"/>
        <v>0.98089887640449436</v>
      </c>
    </row>
    <row r="48" spans="2:9" x14ac:dyDescent="0.2">
      <c r="B48" s="2" t="s">
        <v>10</v>
      </c>
      <c r="C48" s="6">
        <f t="shared" si="19"/>
        <v>0.9651639344262295</v>
      </c>
      <c r="D48" s="6">
        <f t="shared" ref="D48:F48" si="28">I11-H11</f>
        <v>6.147540983606592E-3</v>
      </c>
      <c r="E48" s="6">
        <f t="shared" si="28"/>
        <v>1.7418032786885251E-2</v>
      </c>
      <c r="F48" s="6">
        <f t="shared" si="28"/>
        <v>3.0737704918032405E-3</v>
      </c>
      <c r="G48" s="6">
        <f t="shared" si="21"/>
        <v>8.1967213114754189E-3</v>
      </c>
      <c r="H48" s="6">
        <f t="shared" si="22"/>
        <v>0.97643442622950816</v>
      </c>
    </row>
    <row r="49" spans="2:8" x14ac:dyDescent="0.2">
      <c r="B49" s="2" t="s">
        <v>11</v>
      </c>
      <c r="C49" s="6">
        <f t="shared" si="19"/>
        <v>0.96306818181818177</v>
      </c>
      <c r="D49" s="6">
        <f t="shared" ref="D49:F49" si="29">I12-H12</f>
        <v>5.6818181818182323E-3</v>
      </c>
      <c r="E49" s="6">
        <f t="shared" si="29"/>
        <v>1.7992424242424199E-2</v>
      </c>
      <c r="F49" s="6">
        <f t="shared" si="29"/>
        <v>3.7878787878787845E-3</v>
      </c>
      <c r="G49" s="6">
        <f t="shared" si="21"/>
        <v>9.4696969696970168E-3</v>
      </c>
      <c r="H49" s="6">
        <f t="shared" si="22"/>
        <v>0.97821969696969702</v>
      </c>
    </row>
    <row r="50" spans="2:8" x14ac:dyDescent="0.2">
      <c r="B50" s="2" t="s">
        <v>12</v>
      </c>
      <c r="C50" s="6">
        <f t="shared" si="19"/>
        <v>0.964769647696477</v>
      </c>
      <c r="D50" s="6">
        <f t="shared" ref="D50:F50" si="30">I13-H13</f>
        <v>5.4200542005419239E-3</v>
      </c>
      <c r="E50" s="6">
        <f t="shared" si="30"/>
        <v>1.7163504968383037E-2</v>
      </c>
      <c r="F50" s="6">
        <f t="shared" si="30"/>
        <v>3.6133694670280603E-3</v>
      </c>
      <c r="G50" s="6">
        <f t="shared" si="21"/>
        <v>9.0334236675699842E-3</v>
      </c>
      <c r="H50" s="6">
        <f t="shared" si="22"/>
        <v>0.98915989159891604</v>
      </c>
    </row>
    <row r="51" spans="2:8" x14ac:dyDescent="0.2">
      <c r="B51" s="2" t="s">
        <v>13</v>
      </c>
      <c r="C51" s="6">
        <f t="shared" si="19"/>
        <v>0.95811518324607325</v>
      </c>
      <c r="D51" s="6">
        <f t="shared" ref="D51:F51" si="31">I14-H14</f>
        <v>6.10820244328103E-3</v>
      </c>
      <c r="E51" s="6">
        <f t="shared" si="31"/>
        <v>1.8324607329842868E-2</v>
      </c>
      <c r="F51" s="6">
        <f t="shared" si="31"/>
        <v>4.3630017452007674E-3</v>
      </c>
      <c r="G51" s="6">
        <f t="shared" si="21"/>
        <v>1.308900523560208E-2</v>
      </c>
      <c r="H51" s="6">
        <f t="shared" si="22"/>
        <v>0.9755671902268761</v>
      </c>
    </row>
    <row r="52" spans="2:8" x14ac:dyDescent="0.2">
      <c r="B52" s="2" t="s">
        <v>14</v>
      </c>
      <c r="C52" s="6">
        <f t="shared" si="19"/>
        <v>0.95598006644518274</v>
      </c>
      <c r="D52" s="6">
        <f t="shared" ref="D52:F52" si="32">I15-H15</f>
        <v>6.6445182724251817E-3</v>
      </c>
      <c r="E52" s="6">
        <f t="shared" si="32"/>
        <v>1.8272425249169499E-2</v>
      </c>
      <c r="F52" s="6">
        <f t="shared" si="32"/>
        <v>4.983388704318914E-3</v>
      </c>
      <c r="G52" s="6">
        <f t="shared" si="21"/>
        <v>1.4119601328903664E-2</v>
      </c>
      <c r="H52" s="6">
        <f t="shared" si="22"/>
        <v>0.96760797342192695</v>
      </c>
    </row>
    <row r="53" spans="2:8" x14ac:dyDescent="0.2">
      <c r="B53" s="2" t="s">
        <v>15</v>
      </c>
      <c r="C53" s="6">
        <f t="shared" si="19"/>
        <v>0.95340985820391633</v>
      </c>
      <c r="D53" s="6">
        <f t="shared" ref="D53:F53" si="33">I16-H16</f>
        <v>5.4017555705603293E-3</v>
      </c>
      <c r="E53" s="6">
        <f t="shared" si="33"/>
        <v>1.82309250506415E-2</v>
      </c>
      <c r="F53" s="6">
        <f t="shared" si="33"/>
        <v>4.051316677920358E-3</v>
      </c>
      <c r="G53" s="6">
        <f t="shared" si="21"/>
        <v>1.8906144496961486E-2</v>
      </c>
      <c r="H53" s="6">
        <f t="shared" si="22"/>
        <v>0.97974341661039843</v>
      </c>
    </row>
    <row r="54" spans="2:8" x14ac:dyDescent="0.2">
      <c r="B54" s="2" t="s">
        <v>16</v>
      </c>
      <c r="C54" s="6">
        <f t="shared" si="19"/>
        <v>0.96544391281233388</v>
      </c>
      <c r="D54" s="6">
        <f t="shared" ref="D54:F54" si="34">I17-H17</f>
        <v>4.784688995215336E-3</v>
      </c>
      <c r="E54" s="6">
        <f t="shared" si="34"/>
        <v>1.3290802764486909E-2</v>
      </c>
      <c r="F54" s="6">
        <f t="shared" si="34"/>
        <v>3.1897926634768536E-3</v>
      </c>
      <c r="G54" s="6">
        <f t="shared" si="21"/>
        <v>1.329080276448702E-2</v>
      </c>
      <c r="H54" s="6">
        <f t="shared" si="22"/>
        <v>0.98351940457203613</v>
      </c>
    </row>
  </sheetData>
  <sortState ref="B4:F17">
    <sortCondition ref="C4:C17"/>
  </sortState>
  <mergeCells count="4">
    <mergeCell ref="H2:K2"/>
    <mergeCell ref="F2:G2"/>
    <mergeCell ref="C2:E2"/>
    <mergeCell ref="M2:P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4</vt:i4>
      </vt:variant>
    </vt:vector>
  </HeadingPairs>
  <TitlesOfParts>
    <vt:vector size="5" baseType="lpstr">
      <vt:lpstr>Data</vt:lpstr>
      <vt:lpstr>EGFunnelChartSurvboth</vt:lpstr>
      <vt:lpstr>EGFunnelChartNICOR</vt:lpstr>
      <vt:lpstr>EGFunnelChartSurv</vt:lpstr>
      <vt:lpstr>EGFunnelChartSurvjust975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Christina</dc:creator>
  <cp:lastModifiedBy>Christina</cp:lastModifiedBy>
  <dcterms:created xsi:type="dcterms:W3CDTF">2013-05-07T10:24:22Z</dcterms:created>
  <dcterms:modified xsi:type="dcterms:W3CDTF">2015-09-08T14:23:36Z</dcterms:modified>
</cp:coreProperties>
</file>