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5" i="22" l="1"/>
  <c r="E14" i="22"/>
  <c r="E13" i="22"/>
  <c r="E12" i="22"/>
  <c r="E11" i="22"/>
  <c r="E10" i="22"/>
  <c r="E9" i="22"/>
  <c r="E8" i="22"/>
  <c r="E7" i="22"/>
  <c r="E6" i="22"/>
  <c r="E5" i="22"/>
  <c r="E4" i="22"/>
  <c r="E3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E2" i="22"/>
  <c r="E12" i="2"/>
  <c r="N36" i="2"/>
  <c r="N37" i="2"/>
  <c r="N38" i="2"/>
  <c r="N39" i="2"/>
  <c r="E9" i="2"/>
  <c r="L9" i="2"/>
  <c r="M40" i="2"/>
  <c r="N40" i="2"/>
  <c r="N41" i="2"/>
  <c r="E11" i="2"/>
  <c r="L11" i="2"/>
  <c r="M42" i="2"/>
  <c r="N42" i="2"/>
  <c r="L12" i="2"/>
  <c r="M43" i="2"/>
  <c r="N43" i="2"/>
  <c r="N44" i="2"/>
  <c r="E14" i="2"/>
  <c r="L14" i="2"/>
  <c r="M45" i="2"/>
  <c r="N45" i="2"/>
  <c r="E15" i="2"/>
  <c r="L15" i="2"/>
  <c r="M46" i="2"/>
  <c r="N46" i="2"/>
  <c r="N47" i="2"/>
  <c r="N48" i="2"/>
  <c r="E4" i="2"/>
  <c r="L4" i="2"/>
  <c r="M35" i="2"/>
  <c r="N35" i="2"/>
  <c r="M36" i="2"/>
  <c r="M37" i="2"/>
  <c r="M38" i="2"/>
  <c r="M39" i="2"/>
  <c r="M41" i="2"/>
  <c r="M44" i="2"/>
  <c r="M47" i="2"/>
  <c r="M48" i="2"/>
  <c r="U35" i="2"/>
  <c r="V35" i="2"/>
  <c r="T35" i="2"/>
  <c r="E13" i="2"/>
  <c r="G13" i="2"/>
  <c r="I13" i="2"/>
  <c r="J13" i="2"/>
  <c r="R13" i="2"/>
  <c r="E16" i="2"/>
  <c r="G16" i="2"/>
  <c r="I16" i="2"/>
  <c r="J16" i="2"/>
  <c r="R16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G9" i="2"/>
  <c r="I9" i="2"/>
  <c r="J9" i="2"/>
  <c r="R9" i="2"/>
  <c r="E10" i="2"/>
  <c r="G10" i="2"/>
  <c r="I10" i="2"/>
  <c r="J10" i="2"/>
  <c r="R10" i="2"/>
  <c r="G11" i="2"/>
  <c r="I11" i="2"/>
  <c r="J11" i="2"/>
  <c r="R11" i="2"/>
  <c r="G12" i="2"/>
  <c r="I12" i="2"/>
  <c r="J12" i="2"/>
  <c r="R12" i="2"/>
  <c r="G14" i="2"/>
  <c r="I14" i="2"/>
  <c r="J14" i="2"/>
  <c r="R14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N15" i="2"/>
  <c r="O15" i="2"/>
  <c r="L10" i="2"/>
  <c r="N10" i="2"/>
  <c r="O10" i="2"/>
  <c r="T10" i="2"/>
  <c r="N11" i="2"/>
  <c r="O11" i="2"/>
  <c r="T11" i="2"/>
  <c r="N12" i="2"/>
  <c r="O12" i="2"/>
  <c r="T12" i="2"/>
  <c r="L13" i="2"/>
  <c r="N13" i="2"/>
  <c r="O13" i="2"/>
  <c r="T13" i="2"/>
  <c r="N14" i="2"/>
  <c r="O14" i="2"/>
  <c r="T14" i="2"/>
  <c r="T15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<sst xmlns="http://schemas.openxmlformats.org/spreadsheetml/2006/main" count="113" uniqueCount="76">
  <si>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</si>
  <si>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</si>
  <si>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</si>
  <si>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</si>
  <si>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</si>
  <si>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</si>
  <si>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</si>
  <si>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</si>
  <si>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</si>
  <si>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</si>
  <si>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</si>
  <si>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</si>
  <si>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</si>
  <si>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</si>
  <si>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</si>
  <si>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</si>
  <si>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</si>
  <si>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</si>
  <si>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</si>
  <si>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</si>
  <si>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</si>
  <si>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</si>
  <si>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</si>
  <si>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</si>
  <si>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</si>
  <si>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</si>
  <si>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</si>
  <si>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</si>
  <si>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</si>
  <si>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</si>
  <si>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</si>
  <si>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</si>
  <si>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</si>
  <si>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</si>
  <si>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</si>
  <si>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</si>
  <si>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</si>
  <si>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</si>
  <si>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</si>
  <si>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</si>
  <si>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</si>
  <si>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</si>
  <si>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</si>
  <si>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</si>
  <si>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</si>
  <si>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</si>
  <si>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</si>
  <si>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</si>
  <si>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</si>
  <si>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</si>
  <si>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</si>
  <si>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</si>
  <si>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</si>
  <si>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</si>
  <si>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</si>
  <si>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</si>
  <si>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</si>
  <si>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</si>
  <si>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</si>
  <si>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Total actual survivals</t>
  </si>
  <si>
    <t>Hospital Name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</si>
  <si>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</si>
  <si>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</si>
  <si>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</si>
  <si>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</si>
  <si>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</si>
  <si>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</si>
  <si>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</si>
  <si>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</si>
  <si>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</si>
  <si>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</si>
  <si>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</si>
  <si>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</si>
  <si>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</si>
  <si>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</si>
  <si>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DATA SET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</si>
</sst>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7" fillId="0" borderId="1" xfId="0" applyFont="1" applyFill="1" applyBorder="1" applyAlignment="1">
      <alignment wrapText="1"/>
    </xf>
    <xf numFmtId="0" fontId="6" fillId="0" borderId="1" xfId="0" applyFont="1" applyFill="1" applyBorder="1"/>
    <xf numFmtId="164" fontId="6" fillId="0" borderId="1" xfId="1" applyNumberFormat="1" applyFont="1" applyFill="1" applyBorder="1"/>
    <xf numFmtId="164" fontId="6" fillId="0" borderId="1" xfId="0" applyNumberFormat="1" applyFont="1" applyFill="1" applyBorder="1"/>
    <xf numFmtId="0" fontId="7" fillId="0" borderId="1" xfId="0" applyFont="1" applyFill="1" applyBorder="1"/>
    <xf numFmtId="0" fontId="6" fillId="0" borderId="0" xfId="0" applyFont="1" applyFill="1" applyBorder="1"/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2619080"/>
        <c:axId val="214262415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0.975280898876404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0.984643179765131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33112"/>
        <c:axId val="2142629816"/>
      </c:scatterChart>
      <c:catAx>
        <c:axId val="21426190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2624152"/>
        <c:crosses val="autoZero"/>
        <c:auto val="1"/>
        <c:lblAlgn val="ctr"/>
        <c:lblOffset val="100"/>
        <c:noMultiLvlLbl val="0"/>
      </c:catAx>
      <c:valAx>
        <c:axId val="2142624152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2619080"/>
        <c:crosses val="autoZero"/>
        <c:crossBetween val="between"/>
        <c:majorUnit val="0.01"/>
        <c:minorUnit val="0.005"/>
      </c:valAx>
      <c:valAx>
        <c:axId val="2142629816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2633112"/>
        <c:crosses val="max"/>
        <c:crossBetween val="midCat"/>
      </c:valAx>
      <c:valAx>
        <c:axId val="2142633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42629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39884024"/>
        <c:axId val="213919282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1.001494768310912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0.989182848950867</c:v>
                </c:pt>
                <c:pt idx="5">
                  <c:v>1.001714425667402</c:v>
                </c:pt>
                <c:pt idx="6">
                  <c:v>1.002309468822171</c:v>
                </c:pt>
                <c:pt idx="7">
                  <c:v>1.000522739153163</c:v>
                </c:pt>
                <c:pt idx="8">
                  <c:v>1.003098373353989</c:v>
                </c:pt>
                <c:pt idx="9">
                  <c:v>1.005720612659162</c:v>
                </c:pt>
                <c:pt idx="10">
                  <c:v>1.005196201397599</c:v>
                </c:pt>
                <c:pt idx="11">
                  <c:v>0.999743655472956</c:v>
                </c:pt>
                <c:pt idx="12">
                  <c:v>1.007670850767085</c:v>
                </c:pt>
                <c:pt idx="13">
                  <c:v>1.0028840398324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755512"/>
        <c:axId val="2139132456"/>
      </c:scatterChart>
      <c:catAx>
        <c:axId val="2139884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192824"/>
        <c:crosses val="autoZero"/>
        <c:auto val="1"/>
        <c:lblAlgn val="ctr"/>
        <c:lblOffset val="100"/>
        <c:noMultiLvlLbl val="0"/>
      </c:catAx>
      <c:valAx>
        <c:axId val="2139192824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884024"/>
        <c:crosses val="autoZero"/>
        <c:crossBetween val="between"/>
      </c:valAx>
      <c:valAx>
        <c:axId val="2139132456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2755512"/>
        <c:crosses val="max"/>
        <c:crossBetween val="midCat"/>
      </c:valAx>
      <c:valAx>
        <c:axId val="2142755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39132456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2783784"/>
        <c:axId val="214278856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0.975280898876404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0.984643179765131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797496"/>
        <c:axId val="2142794200"/>
      </c:scatterChart>
      <c:catAx>
        <c:axId val="21427837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2788568"/>
        <c:crosses val="autoZero"/>
        <c:auto val="1"/>
        <c:lblAlgn val="ctr"/>
        <c:lblOffset val="100"/>
        <c:noMultiLvlLbl val="0"/>
      </c:catAx>
      <c:valAx>
        <c:axId val="2142788568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2783784"/>
        <c:crosses val="autoZero"/>
        <c:crossBetween val="between"/>
        <c:majorUnit val="0.01"/>
        <c:minorUnit val="0.005"/>
      </c:valAx>
      <c:valAx>
        <c:axId val="2142794200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2797496"/>
        <c:crosses val="max"/>
        <c:crossBetween val="midCat"/>
      </c:valAx>
      <c:valAx>
        <c:axId val="2142797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142794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2854424"/>
        <c:axId val="214285951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0.985294117647059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0.979640718562874</c:v>
                </c:pt>
                <c:pt idx="6">
                  <c:v>0.975280898876404</c:v>
                </c:pt>
                <c:pt idx="7">
                  <c:v>0.980532786885246</c:v>
                </c:pt>
                <c:pt idx="8">
                  <c:v>0.981060606060606</c:v>
                </c:pt>
                <c:pt idx="9">
                  <c:v>0.984643179765131</c:v>
                </c:pt>
                <c:pt idx="10">
                  <c:v>0.979057591623037</c:v>
                </c:pt>
                <c:pt idx="11">
                  <c:v>0.971760797342193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868440"/>
        <c:axId val="2142865144"/>
      </c:scatterChart>
      <c:catAx>
        <c:axId val="21428544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2859512"/>
        <c:crosses val="autoZero"/>
        <c:auto val="1"/>
        <c:lblAlgn val="ctr"/>
        <c:lblOffset val="100"/>
        <c:noMultiLvlLbl val="0"/>
      </c:catAx>
      <c:valAx>
        <c:axId val="2142859512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2854424"/>
        <c:crosses val="autoZero"/>
        <c:crossBetween val="between"/>
        <c:majorUnit val="0.1"/>
        <c:minorUnit val="0.05"/>
      </c:valAx>
      <c:valAx>
        <c:axId val="2142865144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2868440"/>
        <c:crosses val="max"/>
        <c:crossBetween val="midCat"/>
      </c:valAx>
      <c:valAx>
        <c:axId val="2142868440"/>
        <c:scaling>
          <c:orientation val="minMax"/>
        </c:scaling>
        <c:delete val="1"/>
        <c:axPos val="b"/>
        <c:majorTickMark val="out"/>
        <c:minorTickMark val="none"/>
        <c:tickLblPos val="nextTo"/>
        <c:crossAx val="2142865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zoomScale="90" zoomScaleNormal="90" zoomScalePageLayoutView="90" workbookViewId="0">
      <pane xSplit="21080" topLeftCell="P1"/>
      <selection activeCell="K43" sqref="K43"/>
      <selection pane="topRight" activeCell="P1" sqref="P1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32" t="s">
        <v>19</v>
      </c>
      <c r="D2" s="32"/>
      <c r="E2" s="32"/>
      <c r="F2" s="31" t="s">
        <v>20</v>
      </c>
      <c r="G2" s="31"/>
      <c r="H2" s="30" t="s">
        <v>31</v>
      </c>
      <c r="I2" s="30"/>
      <c r="J2" s="30"/>
      <c r="K2" s="30"/>
      <c r="L2" s="9"/>
      <c r="M2" s="30" t="s">
        <v>36</v>
      </c>
      <c r="N2" s="30"/>
      <c r="O2" s="30"/>
      <c r="P2" s="30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3</v>
      </c>
      <c r="E4" s="13">
        <f t="shared" ref="E4:E17" si="0">1-D4/C4</f>
        <v>0.98529411764705888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1.0014947683109119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57.142857142857281</v>
      </c>
      <c r="S4">
        <f>RANK(R4,R$4:R$17,1)</f>
        <v>6</v>
      </c>
      <c r="T4" s="16">
        <f>100*(L4-N4)/(O4-N4)</f>
        <v>57.142857142857508</v>
      </c>
      <c r="U4" s="17">
        <f>100*(2*S4-1)/28</f>
        <v>39.285714285714285</v>
      </c>
      <c r="V4">
        <f>S4</f>
        <v>6</v>
      </c>
      <c r="W4" s="21">
        <f>100*(Y4-(-1.96))/3.92</f>
        <v>43.064285576549466</v>
      </c>
      <c r="X4" s="17">
        <f>100*(2*V4-1)/28</f>
        <v>39.285714285714285</v>
      </c>
      <c r="Y4" s="15">
        <f>_xlfn.NORM.INV(X4/100,0,1)</f>
        <v>-0.27188000539926088</v>
      </c>
      <c r="AA4" s="16">
        <f>R4-W4</f>
        <v>14.078571566307815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9</v>
      </c>
      <c r="T5" s="16">
        <f t="shared" ref="T5:T17" si="13">100*(L5-N5)/(O5-N5)</f>
        <v>64.28571428571405</v>
      </c>
      <c r="U5" s="17">
        <f t="shared" ref="U5:U17" si="14">100*(2*S5-1)/28</f>
        <v>60.714285714285715</v>
      </c>
      <c r="V5">
        <f t="shared" ref="V5:V17" si="15">S5</f>
        <v>9</v>
      </c>
      <c r="W5" s="21">
        <f t="shared" ref="W5:W17" si="16">100*(Y5-(-1.96))/3.92</f>
        <v>56.935714423450534</v>
      </c>
      <c r="X5" s="17">
        <f t="shared" ref="X5:X17" si="17">100*(2*V5-1)/28</f>
        <v>60.714285714285715</v>
      </c>
      <c r="Y5" s="15">
        <f t="shared" ref="Y5:Y17" si="18">_xlfn.NORM.INV(X5/100,0,1)</f>
        <v>0.27188000539926105</v>
      </c>
      <c r="AA5" s="16">
        <f t="shared" ref="AA5:AA17" si="19">R5-W5</f>
        <v>7.3499998622635019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4</v>
      </c>
      <c r="T6" s="16">
        <f t="shared" si="13"/>
        <v>53.333333333332995</v>
      </c>
      <c r="U6" s="17">
        <f t="shared" si="14"/>
        <v>25</v>
      </c>
      <c r="V6">
        <f t="shared" si="15"/>
        <v>4</v>
      </c>
      <c r="W6" s="21">
        <f t="shared" si="16"/>
        <v>32.793628821528515</v>
      </c>
      <c r="X6" s="17">
        <f t="shared" si="17"/>
        <v>25</v>
      </c>
      <c r="Y6" s="15">
        <f t="shared" si="18"/>
        <v>-0.67448975019608193</v>
      </c>
      <c r="AA6" s="16">
        <f t="shared" si="19"/>
        <v>20.539704511804587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5</v>
      </c>
      <c r="T7" s="16">
        <f t="shared" si="13"/>
        <v>56.249999999999858</v>
      </c>
      <c r="U7" s="17">
        <f t="shared" si="14"/>
        <v>32.142857142857146</v>
      </c>
      <c r="V7">
        <f t="shared" si="15"/>
        <v>5</v>
      </c>
      <c r="W7" s="21">
        <f t="shared" si="16"/>
        <v>38.170720626092368</v>
      </c>
      <c r="X7" s="17">
        <f t="shared" si="17"/>
        <v>32.142857142857146</v>
      </c>
      <c r="Y7" s="15">
        <f t="shared" si="18"/>
        <v>-0.46370775145717902</v>
      </c>
      <c r="AA7" s="16">
        <f t="shared" si="19"/>
        <v>18.079279373907248</v>
      </c>
    </row>
    <row r="8" spans="2:27">
      <c r="B8" s="11" t="s">
        <v>49</v>
      </c>
      <c r="C8" s="11">
        <v>787</v>
      </c>
      <c r="D8" s="22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5.8823529411766522</v>
      </c>
      <c r="S8">
        <f t="shared" si="12"/>
        <v>1</v>
      </c>
      <c r="T8" s="16">
        <f t="shared" si="13"/>
        <v>5.8823529411768245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1.8706970926866058</v>
      </c>
    </row>
    <row r="9" spans="2:27">
      <c r="B9" s="11" t="s">
        <v>50</v>
      </c>
      <c r="C9" s="11">
        <v>835</v>
      </c>
      <c r="D9" s="22">
        <v>17</v>
      </c>
      <c r="E9" s="13">
        <f t="shared" si="0"/>
        <v>0.97964071856287427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1.0017144256674015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62.500000000000071</v>
      </c>
      <c r="S9">
        <f t="shared" si="12"/>
        <v>7</v>
      </c>
      <c r="T9" s="16">
        <f t="shared" si="13"/>
        <v>62.500000000000639</v>
      </c>
      <c r="U9" s="17">
        <f t="shared" si="14"/>
        <v>46.428571428571431</v>
      </c>
      <c r="V9">
        <f t="shared" si="15"/>
        <v>7</v>
      </c>
      <c r="W9" s="21">
        <f t="shared" si="16"/>
        <v>47.713205329699932</v>
      </c>
      <c r="X9" s="17">
        <f t="shared" si="17"/>
        <v>46.428571428571431</v>
      </c>
      <c r="Y9" s="15">
        <f t="shared" si="18"/>
        <v>-8.9642351075762544E-2</v>
      </c>
      <c r="AA9" s="16">
        <f t="shared" si="19"/>
        <v>14.786794670300139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8</v>
      </c>
      <c r="T10" s="16">
        <f t="shared" si="13"/>
        <v>63.157894736842508</v>
      </c>
      <c r="U10" s="17">
        <f t="shared" si="14"/>
        <v>53.571428571428569</v>
      </c>
      <c r="V10">
        <f t="shared" si="15"/>
        <v>8</v>
      </c>
      <c r="W10" s="21">
        <f t="shared" si="16"/>
        <v>52.286794670300068</v>
      </c>
      <c r="X10" s="17">
        <f t="shared" si="17"/>
        <v>53.571428571428569</v>
      </c>
      <c r="Y10" s="15">
        <f t="shared" si="18"/>
        <v>8.9642351075762544E-2</v>
      </c>
      <c r="AA10" s="16">
        <f t="shared" si="19"/>
        <v>10.871100066542063</v>
      </c>
    </row>
    <row r="11" spans="2:27">
      <c r="B11" s="11" t="s">
        <v>52</v>
      </c>
      <c r="C11" s="11">
        <v>976</v>
      </c>
      <c r="D11" s="22">
        <v>19</v>
      </c>
      <c r="E11" s="13">
        <f t="shared" si="0"/>
        <v>0.98053278688524592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1.0005227391531626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52.941176470588196</v>
      </c>
      <c r="S11">
        <f t="shared" si="12"/>
        <v>3</v>
      </c>
      <c r="T11" s="16">
        <f t="shared" si="13"/>
        <v>52.941176470588012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26.431558520801953</v>
      </c>
    </row>
    <row r="12" spans="2:27">
      <c r="B12" s="11" t="s">
        <v>53</v>
      </c>
      <c r="C12" s="11">
        <v>1056</v>
      </c>
      <c r="D12" s="22">
        <v>20</v>
      </c>
      <c r="E12" s="13">
        <f t="shared" si="0"/>
        <v>0.98106060606060608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1.0030983733539891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68.421052631579201</v>
      </c>
      <c r="S12">
        <f t="shared" si="12"/>
        <v>10</v>
      </c>
      <c r="T12" s="16">
        <f t="shared" si="13"/>
        <v>68.421052631579144</v>
      </c>
      <c r="U12" s="17">
        <f t="shared" si="14"/>
        <v>67.857142857142861</v>
      </c>
      <c r="V12">
        <f t="shared" si="15"/>
        <v>10</v>
      </c>
      <c r="W12" s="21">
        <f t="shared" si="16"/>
        <v>61.829279373907625</v>
      </c>
      <c r="X12" s="17">
        <f t="shared" si="17"/>
        <v>67.857142857142861</v>
      </c>
      <c r="Y12" s="15">
        <f t="shared" si="18"/>
        <v>0.46370775145717918</v>
      </c>
      <c r="AA12" s="16">
        <f t="shared" si="19"/>
        <v>6.5917732576715764</v>
      </c>
    </row>
    <row r="13" spans="2:27">
      <c r="B13" s="11" t="s">
        <v>54</v>
      </c>
      <c r="C13" s="11">
        <v>1107</v>
      </c>
      <c r="D13" s="22">
        <v>17</v>
      </c>
      <c r="E13" s="13">
        <f t="shared" si="0"/>
        <v>0.98464317976513094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1.0057206126591622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84.210526315789409</v>
      </c>
      <c r="S13">
        <f t="shared" si="12"/>
        <v>13</v>
      </c>
      <c r="T13" s="16">
        <f t="shared" si="13"/>
        <v>84.210526315790446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2.5302510136638858</v>
      </c>
    </row>
    <row r="14" spans="2:27">
      <c r="B14" s="11" t="s">
        <v>55</v>
      </c>
      <c r="C14" s="11">
        <v>1146</v>
      </c>
      <c r="D14" s="22">
        <v>24</v>
      </c>
      <c r="E14" s="13">
        <f t="shared" si="0"/>
        <v>0.97905759162303663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1.005196201397599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80.952380952381063</v>
      </c>
      <c r="S14">
        <f t="shared" si="12"/>
        <v>12</v>
      </c>
      <c r="T14" s="16">
        <f t="shared" si="13"/>
        <v>80.95238095238112</v>
      </c>
      <c r="U14" s="17">
        <f t="shared" si="14"/>
        <v>82.142857142857139</v>
      </c>
      <c r="V14">
        <f t="shared" si="15"/>
        <v>12</v>
      </c>
      <c r="W14" s="21">
        <f t="shared" si="16"/>
        <v>73.490382050213768</v>
      </c>
      <c r="X14" s="17">
        <f t="shared" si="17"/>
        <v>82.142857142857139</v>
      </c>
      <c r="Y14" s="15">
        <f t="shared" si="18"/>
        <v>0.9208229763683794</v>
      </c>
      <c r="AA14" s="16">
        <f t="shared" si="19"/>
        <v>7.461998902167295</v>
      </c>
    </row>
    <row r="15" spans="2:27">
      <c r="B15" s="11" t="s">
        <v>56</v>
      </c>
      <c r="C15" s="11">
        <v>1204</v>
      </c>
      <c r="D15" s="22">
        <v>34</v>
      </c>
      <c r="E15" s="13">
        <f t="shared" si="0"/>
        <v>0.97176079734219267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0.99974365547295574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50</v>
      </c>
      <c r="S15">
        <f t="shared" si="12"/>
        <v>2</v>
      </c>
      <c r="T15" s="16">
        <f t="shared" si="13"/>
        <v>50.000000000000298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31.680275302125533</v>
      </c>
    </row>
    <row r="16" spans="2:27">
      <c r="B16" s="11" t="s">
        <v>57</v>
      </c>
      <c r="C16" s="11">
        <v>1481</v>
      </c>
      <c r="D16" s="22">
        <v>36</v>
      </c>
      <c r="E16" s="13">
        <f t="shared" si="0"/>
        <v>0.97569209993247807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1.0076708507670851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92.592592592592752</v>
      </c>
      <c r="S16">
        <f t="shared" si="12"/>
        <v>14</v>
      </c>
      <c r="T16" s="16">
        <f t="shared" si="13"/>
        <v>92.592592592592325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-3.395751558917226</v>
      </c>
    </row>
    <row r="17" spans="2:27">
      <c r="B17" s="11" t="s">
        <v>58</v>
      </c>
      <c r="C17" s="11">
        <v>1881</v>
      </c>
      <c r="D17" s="22">
        <v>38</v>
      </c>
      <c r="E17" s="13">
        <f t="shared" si="0"/>
        <v>0.97979797979797978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1.002884039832399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71.999999999999901</v>
      </c>
      <c r="S17">
        <f t="shared" si="12"/>
        <v>11</v>
      </c>
      <c r="T17" s="16">
        <f t="shared" si="13"/>
        <v>71.999999999999929</v>
      </c>
      <c r="U17" s="17">
        <f t="shared" si="14"/>
        <v>75</v>
      </c>
      <c r="V17">
        <f t="shared" si="15"/>
        <v>11</v>
      </c>
      <c r="W17" s="21">
        <f t="shared" si="16"/>
        <v>67.206371178471485</v>
      </c>
      <c r="X17" s="17">
        <f t="shared" si="17"/>
        <v>75</v>
      </c>
      <c r="Y17" s="15">
        <f t="shared" si="18"/>
        <v>0.67448975019608193</v>
      </c>
      <c r="AA17" s="16">
        <f t="shared" si="19"/>
        <v>4.7936288215284151</v>
      </c>
    </row>
    <row r="19" spans="2:27">
      <c r="AA19" s="16">
        <f>SUM(AA4:AA17)</f>
        <v>163.66988140285341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1.0014947683109119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0.98918284895086672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1.0017144256674015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1.0005227391531626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1.0030983733539891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1.0057206126591622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1.005196201397599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0.99974365547295574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1.0076708507670851</v>
      </c>
      <c r="I35" t="str">
        <f t="shared" si="20"/>
        <v>M (1481)</v>
      </c>
      <c r="M35" s="23">
        <f t="shared" ref="M35:M48" si="31">L4</f>
        <v>1.0014947683109119</v>
      </c>
      <c r="N35" s="23">
        <f>M35+0.006</f>
        <v>1.0074947683109119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1.002884039832399</v>
      </c>
      <c r="I36" t="str">
        <f t="shared" si="20"/>
        <v>N (1881)</v>
      </c>
      <c r="M36" s="23">
        <f t="shared" si="31"/>
        <v>1.0031948881789137</v>
      </c>
      <c r="N36" s="23">
        <f t="shared" ref="N36:N48" si="32">M36+0.006</f>
        <v>1.0091948881789137</v>
      </c>
    </row>
    <row r="37" spans="2:22">
      <c r="M37" s="23">
        <f t="shared" si="31"/>
        <v>1</v>
      </c>
      <c r="N37" s="23">
        <f t="shared" si="32"/>
        <v>1.006</v>
      </c>
    </row>
    <row r="38" spans="2:22">
      <c r="C38" t="s">
        <v>37</v>
      </c>
      <c r="M38" s="23">
        <f t="shared" si="31"/>
        <v>1.0004547521600728</v>
      </c>
      <c r="N38" s="23">
        <f t="shared" si="32"/>
        <v>1.0064547521600729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  <c r="M39" s="23">
        <f t="shared" si="31"/>
        <v>0.98918284895086672</v>
      </c>
      <c r="N39" s="23">
        <f t="shared" si="32"/>
        <v>0.99518284895086673</v>
      </c>
    </row>
    <row r="40" spans="2:22">
      <c r="B40" s="5" t="s">
        <v>0</v>
      </c>
      <c r="C40" s="2"/>
      <c r="D40" s="2"/>
      <c r="E40" s="2"/>
      <c r="F40" s="2"/>
      <c r="G40" s="2"/>
      <c r="H40" s="2"/>
      <c r="M40" s="23">
        <f t="shared" si="31"/>
        <v>1.0017144256674015</v>
      </c>
      <c r="N40" s="23">
        <f t="shared" si="32"/>
        <v>1.0077144256674015</v>
      </c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0.98529411764705888</v>
      </c>
      <c r="M41" s="23">
        <f t="shared" si="31"/>
        <v>1.002309468822171</v>
      </c>
      <c r="N41" s="23">
        <f t="shared" si="32"/>
        <v>1.008309468822171</v>
      </c>
    </row>
    <row r="42" spans="2:22">
      <c r="B42" s="2" t="s">
        <v>4</v>
      </c>
      <c r="C42" s="6">
        <f t="shared" ref="C42:C54" si="33">H5</f>
        <v>0.94813278008298751</v>
      </c>
      <c r="D42" s="6">
        <f t="shared" ref="D42:F42" si="34">I5-H5</f>
        <v>1.0373443983402564E-2</v>
      </c>
      <c r="E42" s="6">
        <f t="shared" si="34"/>
        <v>2.9045643153526979E-2</v>
      </c>
      <c r="F42" s="6">
        <f t="shared" si="34"/>
        <v>6.2240663900414717E-3</v>
      </c>
      <c r="G42" s="6">
        <f t="shared" ref="G42:G54" si="35">1-K5</f>
        <v>6.2240663900414717E-3</v>
      </c>
      <c r="H42" s="6">
        <f t="shared" ref="H42:H54" si="36">E5</f>
        <v>0.97717842323651449</v>
      </c>
      <c r="M42" s="23">
        <f t="shared" si="31"/>
        <v>1.0005227391531626</v>
      </c>
      <c r="N42" s="23">
        <f t="shared" si="32"/>
        <v>1.0065227391531626</v>
      </c>
    </row>
    <row r="43" spans="2:22">
      <c r="B43" s="2" t="s">
        <v>5</v>
      </c>
      <c r="C43" s="6">
        <f t="shared" si="33"/>
        <v>0.95360824742268047</v>
      </c>
      <c r="D43" s="6">
        <f t="shared" ref="D43:F43" si="37">I6-H6</f>
        <v>8.5910652920961894E-3</v>
      </c>
      <c r="E43" s="6">
        <f t="shared" si="37"/>
        <v>2.5773195876288679E-2</v>
      </c>
      <c r="F43" s="6">
        <f t="shared" si="37"/>
        <v>5.1546391752577136E-3</v>
      </c>
      <c r="G43" s="6">
        <f t="shared" si="35"/>
        <v>6.8728522336769515E-3</v>
      </c>
      <c r="H43" s="6">
        <f t="shared" si="36"/>
        <v>0.97594501718213056</v>
      </c>
      <c r="M43" s="23">
        <f t="shared" si="31"/>
        <v>1.0030983733539891</v>
      </c>
      <c r="N43" s="23">
        <f t="shared" si="32"/>
        <v>1.0090983733539891</v>
      </c>
    </row>
    <row r="44" spans="2:22">
      <c r="B44" s="2" t="s">
        <v>6</v>
      </c>
      <c r="C44" s="6">
        <f t="shared" si="33"/>
        <v>0.95132743362831862</v>
      </c>
      <c r="D44" s="6">
        <f t="shared" ref="D44:F44" si="38">I7-H7</f>
        <v>8.8495575221239076E-3</v>
      </c>
      <c r="E44" s="6">
        <f t="shared" si="38"/>
        <v>2.359882005899705E-2</v>
      </c>
      <c r="F44" s="6">
        <f t="shared" si="38"/>
        <v>5.8997050147492347E-3</v>
      </c>
      <c r="G44" s="6">
        <f t="shared" si="35"/>
        <v>1.0324483775811188E-2</v>
      </c>
      <c r="H44" s="6">
        <f t="shared" si="36"/>
        <v>0.97345132743362828</v>
      </c>
      <c r="M44" s="23">
        <f t="shared" si="31"/>
        <v>1.0057206126591622</v>
      </c>
      <c r="N44" s="23">
        <f t="shared" si="32"/>
        <v>1.0117206126591622</v>
      </c>
    </row>
    <row r="45" spans="2:22">
      <c r="B45" s="2" t="s">
        <v>7</v>
      </c>
      <c r="C45" s="6">
        <f t="shared" si="33"/>
        <v>0.95679796696315123</v>
      </c>
      <c r="D45" s="6">
        <f t="shared" ref="D45:F45" si="39">I8-H8</f>
        <v>6.3532401524777349E-3</v>
      </c>
      <c r="E45" s="6">
        <f t="shared" si="39"/>
        <v>2.1601016518424387E-2</v>
      </c>
      <c r="F45" s="6">
        <f t="shared" si="39"/>
        <v>5.0825921219822545E-3</v>
      </c>
      <c r="G45" s="6">
        <f t="shared" si="35"/>
        <v>1.0165184243964398E-2</v>
      </c>
      <c r="H45" s="6">
        <f t="shared" si="36"/>
        <v>0.96442185514612455</v>
      </c>
      <c r="M45" s="23">
        <f t="shared" si="31"/>
        <v>1.005196201397599</v>
      </c>
      <c r="N45" s="23">
        <f t="shared" si="32"/>
        <v>1.011196201397599</v>
      </c>
    </row>
    <row r="46" spans="2:22">
      <c r="B46" s="2" t="s">
        <v>8</v>
      </c>
      <c r="C46" s="6">
        <f t="shared" si="33"/>
        <v>0.96047904191616762</v>
      </c>
      <c r="D46" s="6">
        <f t="shared" ref="D46:F46" si="40">I9-H9</f>
        <v>7.1856287425150489E-3</v>
      </c>
      <c r="E46" s="6">
        <f t="shared" si="40"/>
        <v>1.9161676646706538E-2</v>
      </c>
      <c r="F46" s="6">
        <f t="shared" si="40"/>
        <v>4.7904191616766623E-3</v>
      </c>
      <c r="G46" s="6">
        <f t="shared" si="35"/>
        <v>8.3832335329341312E-3</v>
      </c>
      <c r="H46" s="6">
        <f t="shared" si="36"/>
        <v>0.97964071856287427</v>
      </c>
      <c r="M46" s="23">
        <f t="shared" si="31"/>
        <v>0.99974365547295574</v>
      </c>
      <c r="N46" s="23">
        <f t="shared" si="32"/>
        <v>1.0057436554729557</v>
      </c>
    </row>
    <row r="47" spans="2:22">
      <c r="B47" s="2" t="s">
        <v>9</v>
      </c>
      <c r="C47" s="6">
        <f t="shared" si="33"/>
        <v>0.9550561797752809</v>
      </c>
      <c r="D47" s="6">
        <f t="shared" ref="D47:F47" si="41">I10-H10</f>
        <v>6.741573033707815E-3</v>
      </c>
      <c r="E47" s="6">
        <f t="shared" si="41"/>
        <v>2.1348314606741581E-2</v>
      </c>
      <c r="F47" s="6">
        <f t="shared" si="41"/>
        <v>4.4943820224719877E-3</v>
      </c>
      <c r="G47" s="6">
        <f t="shared" si="35"/>
        <v>1.2359550561797716E-2</v>
      </c>
      <c r="H47" s="6">
        <f t="shared" si="36"/>
        <v>0.97528089887640446</v>
      </c>
      <c r="M47" s="23">
        <f t="shared" si="31"/>
        <v>1.0076708507670851</v>
      </c>
      <c r="N47" s="23">
        <f t="shared" si="32"/>
        <v>1.0136708507670851</v>
      </c>
    </row>
    <row r="48" spans="2:22">
      <c r="B48" s="2" t="s">
        <v>10</v>
      </c>
      <c r="C48" s="6">
        <f t="shared" si="33"/>
        <v>0.9651639344262295</v>
      </c>
      <c r="D48" s="6">
        <f t="shared" ref="D48:F48" si="42">I11-H11</f>
        <v>6.147540983606592E-3</v>
      </c>
      <c r="E48" s="6">
        <f t="shared" si="42"/>
        <v>1.7418032786885251E-2</v>
      </c>
      <c r="F48" s="6">
        <f t="shared" si="42"/>
        <v>3.0737704918032405E-3</v>
      </c>
      <c r="G48" s="6">
        <f t="shared" si="35"/>
        <v>8.1967213114754189E-3</v>
      </c>
      <c r="H48" s="6">
        <f t="shared" si="36"/>
        <v>0.98053278688524592</v>
      </c>
      <c r="M48" s="23">
        <f t="shared" si="31"/>
        <v>1.002884039832399</v>
      </c>
      <c r="N48" s="23">
        <f t="shared" si="32"/>
        <v>1.008884039832399</v>
      </c>
    </row>
    <row r="49" spans="2:8">
      <c r="B49" s="2" t="s">
        <v>11</v>
      </c>
      <c r="C49" s="6">
        <f t="shared" si="33"/>
        <v>0.96306818181818177</v>
      </c>
      <c r="D49" s="6">
        <f t="shared" ref="D49:F49" si="43">I12-H12</f>
        <v>5.6818181818182323E-3</v>
      </c>
      <c r="E49" s="6">
        <f t="shared" si="43"/>
        <v>1.7992424242424199E-2</v>
      </c>
      <c r="F49" s="6">
        <f t="shared" si="43"/>
        <v>3.7878787878787845E-3</v>
      </c>
      <c r="G49" s="6">
        <f t="shared" si="35"/>
        <v>9.4696969696970168E-3</v>
      </c>
      <c r="H49" s="6">
        <f t="shared" si="36"/>
        <v>0.98106060606060608</v>
      </c>
    </row>
    <row r="50" spans="2:8">
      <c r="B50" s="2" t="s">
        <v>12</v>
      </c>
      <c r="C50" s="6">
        <f t="shared" si="33"/>
        <v>0.964769647696477</v>
      </c>
      <c r="D50" s="6">
        <f t="shared" ref="D50:F50" si="44">I13-H13</f>
        <v>5.4200542005419239E-3</v>
      </c>
      <c r="E50" s="6">
        <f t="shared" si="44"/>
        <v>1.7163504968383037E-2</v>
      </c>
      <c r="F50" s="6">
        <f t="shared" si="44"/>
        <v>3.6133694670280603E-3</v>
      </c>
      <c r="G50" s="6">
        <f t="shared" si="35"/>
        <v>9.0334236675699842E-3</v>
      </c>
      <c r="H50" s="6">
        <f t="shared" si="36"/>
        <v>0.98464317976513094</v>
      </c>
    </row>
    <row r="51" spans="2:8">
      <c r="B51" s="2" t="s">
        <v>13</v>
      </c>
      <c r="C51" s="6">
        <f t="shared" si="33"/>
        <v>0.95811518324607325</v>
      </c>
      <c r="D51" s="6">
        <f t="shared" ref="D51:F51" si="45">I14-H14</f>
        <v>6.10820244328103E-3</v>
      </c>
      <c r="E51" s="6">
        <f t="shared" si="45"/>
        <v>1.8324607329842868E-2</v>
      </c>
      <c r="F51" s="6">
        <f t="shared" si="45"/>
        <v>4.3630017452007674E-3</v>
      </c>
      <c r="G51" s="6">
        <f t="shared" si="35"/>
        <v>1.308900523560208E-2</v>
      </c>
      <c r="H51" s="6">
        <f t="shared" si="36"/>
        <v>0.97905759162303663</v>
      </c>
    </row>
    <row r="52" spans="2:8">
      <c r="B52" s="2" t="s">
        <v>14</v>
      </c>
      <c r="C52" s="6">
        <f t="shared" si="33"/>
        <v>0.95598006644518274</v>
      </c>
      <c r="D52" s="6">
        <f t="shared" ref="D52:F52" si="46">I15-H15</f>
        <v>6.6445182724251817E-3</v>
      </c>
      <c r="E52" s="6">
        <f t="shared" si="46"/>
        <v>1.8272425249169499E-2</v>
      </c>
      <c r="F52" s="6">
        <f t="shared" si="46"/>
        <v>4.983388704318914E-3</v>
      </c>
      <c r="G52" s="6">
        <f t="shared" si="35"/>
        <v>1.4119601328903664E-2</v>
      </c>
      <c r="H52" s="6">
        <f t="shared" si="36"/>
        <v>0.97176079734219267</v>
      </c>
    </row>
    <row r="53" spans="2:8">
      <c r="B53" s="2" t="s">
        <v>15</v>
      </c>
      <c r="C53" s="6">
        <f t="shared" si="33"/>
        <v>0.95340985820391633</v>
      </c>
      <c r="D53" s="6">
        <f t="shared" ref="D53:F53" si="47">I16-H16</f>
        <v>5.4017555705603293E-3</v>
      </c>
      <c r="E53" s="6">
        <f t="shared" si="47"/>
        <v>1.82309250506415E-2</v>
      </c>
      <c r="F53" s="6">
        <f t="shared" si="47"/>
        <v>4.051316677920358E-3</v>
      </c>
      <c r="G53" s="6">
        <f t="shared" si="35"/>
        <v>1.8906144496961486E-2</v>
      </c>
      <c r="H53" s="6">
        <f t="shared" si="36"/>
        <v>0.97569209993247807</v>
      </c>
    </row>
    <row r="54" spans="2:8">
      <c r="B54" s="2" t="s">
        <v>16</v>
      </c>
      <c r="C54" s="6">
        <f t="shared" si="33"/>
        <v>0.96544391281233388</v>
      </c>
      <c r="D54" s="6">
        <f t="shared" ref="D54:F54" si="48">I17-H17</f>
        <v>4.784688995215336E-3</v>
      </c>
      <c r="E54" s="6">
        <f t="shared" si="48"/>
        <v>1.3290802764486909E-2</v>
      </c>
      <c r="F54" s="6">
        <f t="shared" si="48"/>
        <v>3.1897926634768536E-3</v>
      </c>
      <c r="G54" s="6">
        <f t="shared" si="35"/>
        <v>1.329080276448702E-2</v>
      </c>
      <c r="H54" s="6">
        <f t="shared" si="36"/>
        <v>0.97979797979797978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A18" sqref="A18"/>
    </sheetView>
  </sheetViews>
  <sheetFormatPr baseColWidth="10" defaultColWidth="8.83203125" defaultRowHeight="12" x14ac:dyDescent="0"/>
  <cols>
    <col min="1" max="1" width="13.33203125" bestFit="1" customWidth="1"/>
  </cols>
  <sheetData>
    <row r="1" spans="1:10" ht="51" customHeight="1">
      <c r="A1" s="28" t="s">
        <v>60</v>
      </c>
      <c r="B1" s="24" t="s">
        <v>0</v>
      </c>
      <c r="C1" s="24" t="s">
        <v>1</v>
      </c>
      <c r="D1" s="24" t="s">
        <v>18</v>
      </c>
      <c r="E1" s="24" t="s">
        <v>59</v>
      </c>
      <c r="F1" s="24" t="s">
        <v>17</v>
      </c>
      <c r="G1" s="24" t="s">
        <v>22</v>
      </c>
      <c r="H1" s="24" t="s">
        <v>23</v>
      </c>
      <c r="I1" s="24" t="s">
        <v>24</v>
      </c>
      <c r="J1" s="24" t="s">
        <v>25</v>
      </c>
    </row>
    <row r="2" spans="1:10">
      <c r="A2" s="25" t="s">
        <v>61</v>
      </c>
      <c r="B2" s="25" t="s">
        <v>45</v>
      </c>
      <c r="C2" s="25">
        <v>204</v>
      </c>
      <c r="D2" s="25">
        <v>3</v>
      </c>
      <c r="E2" s="25">
        <f>C2-D2</f>
        <v>201</v>
      </c>
      <c r="F2" s="26">
        <f t="shared" ref="F2:F15" si="0">1-D2/C2</f>
        <v>0.98529411764705888</v>
      </c>
      <c r="G2" s="26">
        <v>0.9509803921568627</v>
      </c>
      <c r="H2" s="26">
        <v>0.96568627450980393</v>
      </c>
      <c r="I2" s="27">
        <v>1</v>
      </c>
      <c r="J2" s="27">
        <v>1</v>
      </c>
    </row>
    <row r="3" spans="1:10">
      <c r="A3" s="25" t="s">
        <v>62</v>
      </c>
      <c r="B3" s="25" t="s">
        <v>46</v>
      </c>
      <c r="C3" s="25">
        <v>482</v>
      </c>
      <c r="D3" s="25">
        <v>11</v>
      </c>
      <c r="E3" s="25">
        <f t="shared" ref="E3:E15" si="1">C3-D3</f>
        <v>471</v>
      </c>
      <c r="F3" s="26">
        <f t="shared" si="0"/>
        <v>0.97717842323651449</v>
      </c>
      <c r="G3" s="26">
        <v>0.94813278008298751</v>
      </c>
      <c r="H3" s="26">
        <v>0.95850622406639008</v>
      </c>
      <c r="I3" s="27">
        <v>0.98755186721991706</v>
      </c>
      <c r="J3" s="27">
        <v>0.99377593360995853</v>
      </c>
    </row>
    <row r="4" spans="1:10">
      <c r="A4" s="25" t="s">
        <v>63</v>
      </c>
      <c r="B4" s="25" t="s">
        <v>47</v>
      </c>
      <c r="C4" s="25">
        <v>582</v>
      </c>
      <c r="D4" s="25">
        <v>14</v>
      </c>
      <c r="E4" s="25">
        <f t="shared" si="1"/>
        <v>568</v>
      </c>
      <c r="F4" s="26">
        <f t="shared" si="0"/>
        <v>0.97594501718213056</v>
      </c>
      <c r="G4" s="26">
        <v>0.95360824742268047</v>
      </c>
      <c r="H4" s="26">
        <v>0.96219931271477666</v>
      </c>
      <c r="I4" s="27">
        <v>0.98797250859106533</v>
      </c>
      <c r="J4" s="27">
        <v>0.99312714776632305</v>
      </c>
    </row>
    <row r="5" spans="1:10">
      <c r="A5" s="25" t="s">
        <v>64</v>
      </c>
      <c r="B5" s="25" t="s">
        <v>48</v>
      </c>
      <c r="C5" s="25">
        <v>678</v>
      </c>
      <c r="D5" s="25">
        <v>18</v>
      </c>
      <c r="E5" s="25">
        <f t="shared" si="1"/>
        <v>660</v>
      </c>
      <c r="F5" s="26">
        <f t="shared" si="0"/>
        <v>0.97345132743362828</v>
      </c>
      <c r="G5" s="26">
        <v>0.95132743362831862</v>
      </c>
      <c r="H5" s="26">
        <v>0.96017699115044253</v>
      </c>
      <c r="I5" s="27">
        <v>0.98377581120943958</v>
      </c>
      <c r="J5" s="27">
        <v>0.98967551622418881</v>
      </c>
    </row>
    <row r="6" spans="1:10">
      <c r="A6" s="25" t="s">
        <v>65</v>
      </c>
      <c r="B6" s="25" t="s">
        <v>49</v>
      </c>
      <c r="C6" s="25">
        <v>787</v>
      </c>
      <c r="D6" s="25">
        <v>28</v>
      </c>
      <c r="E6" s="25">
        <f t="shared" si="1"/>
        <v>759</v>
      </c>
      <c r="F6" s="26">
        <f t="shared" si="0"/>
        <v>0.96442185514612455</v>
      </c>
      <c r="G6" s="26">
        <v>0.95679796696315123</v>
      </c>
      <c r="H6" s="26">
        <v>0.96315120711562896</v>
      </c>
      <c r="I6" s="27">
        <v>0.98475222363405335</v>
      </c>
      <c r="J6" s="27">
        <v>0.9898348157560356</v>
      </c>
    </row>
    <row r="7" spans="1:10">
      <c r="A7" s="25" t="s">
        <v>66</v>
      </c>
      <c r="B7" s="25" t="s">
        <v>50</v>
      </c>
      <c r="C7" s="25">
        <v>835</v>
      </c>
      <c r="D7" s="25">
        <v>17</v>
      </c>
      <c r="E7" s="25">
        <f t="shared" si="1"/>
        <v>818</v>
      </c>
      <c r="F7" s="26">
        <f t="shared" si="0"/>
        <v>0.97964071856287427</v>
      </c>
      <c r="G7" s="26">
        <v>0.96047904191616762</v>
      </c>
      <c r="H7" s="26">
        <v>0.96766467065868267</v>
      </c>
      <c r="I7" s="27">
        <v>0.98682634730538921</v>
      </c>
      <c r="J7" s="27">
        <v>0.99161676646706587</v>
      </c>
    </row>
    <row r="8" spans="1:10">
      <c r="A8" s="25" t="s">
        <v>67</v>
      </c>
      <c r="B8" s="25" t="s">
        <v>51</v>
      </c>
      <c r="C8" s="25">
        <v>890</v>
      </c>
      <c r="D8" s="25">
        <v>22</v>
      </c>
      <c r="E8" s="25">
        <f t="shared" si="1"/>
        <v>868</v>
      </c>
      <c r="F8" s="26">
        <f t="shared" si="0"/>
        <v>0.97528089887640446</v>
      </c>
      <c r="G8" s="26">
        <v>0.9550561797752809</v>
      </c>
      <c r="H8" s="26">
        <v>0.96179775280898872</v>
      </c>
      <c r="I8" s="27">
        <v>0.9831460674157303</v>
      </c>
      <c r="J8" s="27">
        <v>0.98764044943820228</v>
      </c>
    </row>
    <row r="9" spans="1:10">
      <c r="A9" s="25" t="s">
        <v>68</v>
      </c>
      <c r="B9" s="25" t="s">
        <v>52</v>
      </c>
      <c r="C9" s="25">
        <v>976</v>
      </c>
      <c r="D9" s="25">
        <v>19</v>
      </c>
      <c r="E9" s="25">
        <f t="shared" si="1"/>
        <v>957</v>
      </c>
      <c r="F9" s="26">
        <f t="shared" si="0"/>
        <v>0.98053278688524592</v>
      </c>
      <c r="G9" s="26">
        <v>0.9651639344262295</v>
      </c>
      <c r="H9" s="26">
        <v>0.97131147540983609</v>
      </c>
      <c r="I9" s="27">
        <v>0.98872950819672134</v>
      </c>
      <c r="J9" s="27">
        <v>0.99180327868852458</v>
      </c>
    </row>
    <row r="10" spans="1:10">
      <c r="A10" s="25" t="s">
        <v>69</v>
      </c>
      <c r="B10" s="25" t="s">
        <v>53</v>
      </c>
      <c r="C10" s="25">
        <v>1056</v>
      </c>
      <c r="D10" s="25">
        <v>20</v>
      </c>
      <c r="E10" s="25">
        <f t="shared" si="1"/>
        <v>1036</v>
      </c>
      <c r="F10" s="26">
        <f t="shared" si="0"/>
        <v>0.98106060606060608</v>
      </c>
      <c r="G10" s="26">
        <v>0.96306818181818177</v>
      </c>
      <c r="H10" s="26">
        <v>0.96875</v>
      </c>
      <c r="I10" s="27">
        <v>0.9867424242424242</v>
      </c>
      <c r="J10" s="27">
        <v>0.99053030303030298</v>
      </c>
    </row>
    <row r="11" spans="1:10">
      <c r="A11" s="25" t="s">
        <v>70</v>
      </c>
      <c r="B11" s="25" t="s">
        <v>54</v>
      </c>
      <c r="C11" s="25">
        <v>1107</v>
      </c>
      <c r="D11" s="25">
        <v>17</v>
      </c>
      <c r="E11" s="25">
        <f t="shared" si="1"/>
        <v>1090</v>
      </c>
      <c r="F11" s="26">
        <f t="shared" si="0"/>
        <v>0.98464317976513094</v>
      </c>
      <c r="G11" s="26">
        <v>0.964769647696477</v>
      </c>
      <c r="H11" s="26">
        <v>0.97018970189701892</v>
      </c>
      <c r="I11" s="27">
        <v>0.98735320686540196</v>
      </c>
      <c r="J11" s="27">
        <v>0.99096657633243002</v>
      </c>
    </row>
    <row r="12" spans="1:10">
      <c r="A12" s="25" t="s">
        <v>71</v>
      </c>
      <c r="B12" s="25" t="s">
        <v>55</v>
      </c>
      <c r="C12" s="25">
        <v>1146</v>
      </c>
      <c r="D12" s="25">
        <v>24</v>
      </c>
      <c r="E12" s="25">
        <f t="shared" si="1"/>
        <v>1122</v>
      </c>
      <c r="F12" s="26">
        <f t="shared" si="0"/>
        <v>0.97905759162303663</v>
      </c>
      <c r="G12" s="26">
        <v>0.95811518324607325</v>
      </c>
      <c r="H12" s="26">
        <v>0.96422338568935428</v>
      </c>
      <c r="I12" s="27">
        <v>0.98254799301919715</v>
      </c>
      <c r="J12" s="27">
        <v>0.98691099476439792</v>
      </c>
    </row>
    <row r="13" spans="1:10">
      <c r="A13" s="25" t="s">
        <v>72</v>
      </c>
      <c r="B13" s="25" t="s">
        <v>56</v>
      </c>
      <c r="C13" s="25">
        <v>1204</v>
      </c>
      <c r="D13" s="25">
        <v>34</v>
      </c>
      <c r="E13" s="25">
        <f t="shared" si="1"/>
        <v>1170</v>
      </c>
      <c r="F13" s="26">
        <f t="shared" si="0"/>
        <v>0.97176079734219267</v>
      </c>
      <c r="G13" s="26">
        <v>0.95598006644518274</v>
      </c>
      <c r="H13" s="26">
        <v>0.96262458471760792</v>
      </c>
      <c r="I13" s="27">
        <v>0.98089700996677742</v>
      </c>
      <c r="J13" s="27">
        <v>0.98588039867109634</v>
      </c>
    </row>
    <row r="14" spans="1:10">
      <c r="A14" s="25" t="s">
        <v>73</v>
      </c>
      <c r="B14" s="25" t="s">
        <v>57</v>
      </c>
      <c r="C14" s="25">
        <v>1481</v>
      </c>
      <c r="D14" s="25">
        <v>36</v>
      </c>
      <c r="E14" s="25">
        <f t="shared" si="1"/>
        <v>1445</v>
      </c>
      <c r="F14" s="26">
        <f t="shared" si="0"/>
        <v>0.97569209993247807</v>
      </c>
      <c r="G14" s="26">
        <v>0.95340985820391633</v>
      </c>
      <c r="H14" s="26">
        <v>0.95881161377447666</v>
      </c>
      <c r="I14" s="27">
        <v>0.97704253882511816</v>
      </c>
      <c r="J14" s="27">
        <v>0.98109385550303851</v>
      </c>
    </row>
    <row r="15" spans="1:10">
      <c r="A15" s="25" t="s">
        <v>74</v>
      </c>
      <c r="B15" s="25" t="s">
        <v>58</v>
      </c>
      <c r="C15" s="25">
        <v>1881</v>
      </c>
      <c r="D15" s="25">
        <v>38</v>
      </c>
      <c r="E15" s="25">
        <f t="shared" si="1"/>
        <v>1843</v>
      </c>
      <c r="F15" s="26">
        <f t="shared" si="0"/>
        <v>0.97979797979797978</v>
      </c>
      <c r="G15" s="26">
        <v>0.96544391281233388</v>
      </c>
      <c r="H15" s="26">
        <v>0.97022860180754922</v>
      </c>
      <c r="I15" s="27">
        <v>0.98351940457203613</v>
      </c>
      <c r="J15" s="27">
        <v>0.98670919723551298</v>
      </c>
    </row>
    <row r="17" spans="1:1">
      <c r="A17" s="29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2015-10-30T09:54:22Z</dcterms:modified>
</cp:coreProperties>
</file>